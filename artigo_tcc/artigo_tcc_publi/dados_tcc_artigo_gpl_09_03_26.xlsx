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MESTRADO_HANDSTAND\artigo_tcc_publi\"/>
    </mc:Choice>
  </mc:AlternateContent>
  <xr:revisionPtr revIDLastSave="0" documentId="8_{85AD672F-067C-4DA5-8045-611E76CC7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5" r:id="rId1"/>
    <sheet name="DADOS GERAIS" sheetId="1" r:id="rId2"/>
    <sheet name="SHSPU VS %SP" sheetId="2" r:id="rId3"/>
    <sheet name="OUTROS FATORES" sheetId="3" r:id="rId4"/>
    <sheet name="DADOS OCULTO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" i="4" l="1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B11" i="4"/>
  <c r="D10" i="4"/>
  <c r="B10" i="4"/>
  <c r="O9" i="4"/>
  <c r="D9" i="4"/>
  <c r="B9" i="4"/>
  <c r="O8" i="4"/>
  <c r="D8" i="4"/>
  <c r="B8" i="4"/>
  <c r="O7" i="4"/>
  <c r="D7" i="4"/>
  <c r="B7" i="4"/>
  <c r="O6" i="4"/>
  <c r="D6" i="4"/>
  <c r="B6" i="4"/>
  <c r="O5" i="4"/>
  <c r="D5" i="4"/>
  <c r="B5" i="4"/>
  <c r="O4" i="4"/>
  <c r="D4" i="4"/>
  <c r="B4" i="4"/>
  <c r="O3" i="4"/>
  <c r="D3" i="4"/>
  <c r="B3" i="4"/>
  <c r="O2" i="4"/>
  <c r="D2" i="4"/>
  <c r="B2" i="4"/>
  <c r="J3" i="2"/>
  <c r="F3" i="2"/>
  <c r="J2" i="2"/>
  <c r="F2" i="2"/>
  <c r="U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200.014609</author>
    <author/>
  </authors>
  <commentList>
    <comment ref="C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200.014609:</t>
        </r>
        <r>
          <rPr>
            <sz val="9"/>
            <color indexed="81"/>
            <rFont val="Segoe UI"/>
            <charset val="1"/>
          </rPr>
          <t xml:space="preserve">
1 = Masculino
2 = Feminino</t>
        </r>
      </text>
    </comment>
    <comment ref="F1" authorId="1" shapeId="0" xr:uid="{00000000-0006-0000-0000-000002000000}">
      <text>
        <r>
          <rPr>
            <sz val="10"/>
            <color rgb="FF000000"/>
            <rFont val="Arial"/>
            <scheme val="minor"/>
          </rPr>
          <t>1 - até 12 meses
2- 12 meses
3 - 24 meses
4-  36 meses
5 - 48 meses
6 - 60 meses
7 - mais de 60 meses</t>
        </r>
      </text>
    </comment>
    <comment ref="G1" authorId="1" shapeId="0" xr:uid="{00000000-0006-0000-0000-000003000000}">
      <text>
        <r>
          <rPr>
            <sz val="10"/>
            <color rgb="FF000000"/>
            <rFont val="Arial"/>
            <scheme val="minor"/>
          </rPr>
          <t>faixa de horas considerei o limite inferior. valor 0 é porque não pratica mais.
	-Guilherme Lemos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100-000001000000}">
      <text>
        <r>
          <rPr>
            <sz val="10"/>
            <color rgb="FF000000"/>
            <rFont val="Arial"/>
            <scheme val="minor"/>
          </rPr>
          <t>Valores quebrados de anos e meses acima de 1 ano considerei o limite inferior. Valores superiores a 5 anos entraram numa mesma categoria: "mais de 5 anos"
	-Guilherme Lemos</t>
        </r>
      </text>
    </comment>
    <comment ref="K1" authorId="0" shapeId="0" xr:uid="{00000000-0006-0000-0100-000002000000}">
      <text>
        <r>
          <rPr>
            <sz val="10"/>
            <color rgb="FF000000"/>
            <rFont val="Arial"/>
            <scheme val="minor"/>
          </rPr>
          <t>faixa de horas considerei o limite inferior. valor 0 é porque não pratica mais.
	-Guilherme Lemos</t>
        </r>
      </text>
    </comment>
    <comment ref="E12" authorId="0" shapeId="0" xr:uid="{00000000-0006-0000-0100-000003000000}">
      <text>
        <r>
          <rPr>
            <sz val="10"/>
            <color rgb="FF000000"/>
            <rFont val="Arial"/>
            <scheme val="minor"/>
          </rPr>
          <t>MEDO/RECEIO DE SE MACHUCAR
	-Guilherme Lemos</t>
        </r>
      </text>
    </comment>
    <comment ref="E28" authorId="0" shapeId="0" xr:uid="{00000000-0006-0000-0100-000004000000}">
      <text>
        <r>
          <rPr>
            <sz val="10"/>
            <color rgb="FF000000"/>
            <rFont val="Arial"/>
            <scheme val="minor"/>
          </rPr>
          <t>FALTA DE CONDIÇÕES FÍSICA
	-Guilherme Lemos</t>
        </r>
      </text>
    </comment>
    <comment ref="E81" authorId="0" shapeId="0" xr:uid="{00000000-0006-0000-0100-000005000000}">
      <text>
        <r>
          <rPr>
            <sz val="10"/>
            <color rgb="FF000000"/>
            <rFont val="Arial"/>
            <scheme val="minor"/>
          </rPr>
          <t>FALTA DE CONDIÇÕES FÍSICA
	-Guilherme Lemos</t>
        </r>
      </text>
    </comment>
  </commentList>
</comments>
</file>

<file path=xl/sharedStrings.xml><?xml version="1.0" encoding="utf-8"?>
<sst xmlns="http://schemas.openxmlformats.org/spreadsheetml/2006/main" count="2631" uniqueCount="616">
  <si>
    <t>Carimbo de data/</t>
  </si>
  <si>
    <t>Nome Completo</t>
  </si>
  <si>
    <t>Idade</t>
  </si>
  <si>
    <t>Gênero</t>
  </si>
  <si>
    <t>Faz Headstand?</t>
  </si>
  <si>
    <t>Máx. de Rep. SHSPU em 1'</t>
  </si>
  <si>
    <t>Massa Corporal (Kg)</t>
  </si>
  <si>
    <t>PR Shoulder Press (Kg)</t>
  </si>
  <si>
    <t>PR Shoulder Press relativo a Massa Corporal (%)</t>
  </si>
  <si>
    <t>Há quanto tempo pratica CrossFit®?</t>
  </si>
  <si>
    <t>Qual seu volume (em ) que treina  CrossFit® por semana?</t>
  </si>
  <si>
    <t>Pratica outra (s) modalidade(s) esportiva(s) atualmente?</t>
  </si>
  <si>
    <t>Se sim, qual (is)?</t>
  </si>
  <si>
    <t>Há quanto tempo?</t>
  </si>
  <si>
    <t>Qual seu volume (em ) que treina essa (s) outra(s) modalidade(s) por semana?</t>
  </si>
  <si>
    <t>Possui alguma lesão, cirurgia ou limitação física preexistente que pode interferir na prática de atividade física? Se sim, qual(is) ?</t>
  </si>
  <si>
    <t>Qual lesão?</t>
  </si>
  <si>
    <t>E-mail</t>
  </si>
  <si>
    <t>Endereço de e-mail</t>
  </si>
  <si>
    <t>Telefone para Contato - (DDD) + Número</t>
  </si>
  <si>
    <t>Telefone para Emergências -  (DDD) + Número</t>
  </si>
  <si>
    <t>Endereço</t>
  </si>
  <si>
    <t>Algum médico já disse que você possui algum problema de coração e que só deveria realizar atividade física supervisionado por profissionais de saúde?</t>
  </si>
  <si>
    <t>Você sente dores no peito quando pratica atividade física?</t>
  </si>
  <si>
    <t>Você apresenta desequilíbrio devido à tontura e/ ou perda de consciência?</t>
  </si>
  <si>
    <t>Você possui algum problema ósseo ou articular que poderia ser piorado pela atividade física?</t>
  </si>
  <si>
    <t>Você toma atualmente algum medicamento para pressão arterial e/ou problema de coração?</t>
  </si>
  <si>
    <t>No último mês, você sentiu dores no peito quando praticou atividade física?</t>
  </si>
  <si>
    <t>Sabe de alguma outra razão pela qual você não deve praticar atividade física?</t>
  </si>
  <si>
    <t>Assumo  plena  responsabilidade  por  qualquer atividade física praticada sem o atendimento a essa recomendação.</t>
  </si>
  <si>
    <t>Assinatura (digital ou foto)</t>
  </si>
  <si>
    <t>Alessandra Maria Salla</t>
  </si>
  <si>
    <t>Feminino</t>
  </si>
  <si>
    <t>Sim</t>
  </si>
  <si>
    <t>5 anos</t>
  </si>
  <si>
    <t>Não</t>
  </si>
  <si>
    <t>alessandrasalla@gmail.com</t>
  </si>
  <si>
    <t>16-974008560</t>
  </si>
  <si>
    <t>Olavo Golveia Ludovicce 440</t>
  </si>
  <si>
    <t>NÃO</t>
  </si>
  <si>
    <t>SIM</t>
  </si>
  <si>
    <t>https://drive.google.com/open?id=1Jd6F2dHs5imX7gr6EbnaFovX-pV-x3zs</t>
  </si>
  <si>
    <t>Marina Cezar Zaneti</t>
  </si>
  <si>
    <t>Epicondilite direita</t>
  </si>
  <si>
    <t>macz.bq@gmail.com</t>
  </si>
  <si>
    <t>16 99313-0925 - Leandro irmão</t>
  </si>
  <si>
    <t>Rua Cravinhos, 374 apartamento 24</t>
  </si>
  <si>
    <t>https://drive.google.com/open?id=1KD818QiVfuolPLrSHoybEKv0BC4SO7AA</t>
  </si>
  <si>
    <t>Dayene Sousa Pimentel</t>
  </si>
  <si>
    <t>1 ano</t>
  </si>
  <si>
    <t>dayenesp@hotmail.com</t>
  </si>
  <si>
    <t>Rua Dr Candido Guidon, 498</t>
  </si>
  <si>
    <t>https://drive.google.com/open?id=1WsgT2JcqYPzckTCll6PKgWb5BJi23SoF</t>
  </si>
  <si>
    <t>Gabriel Henrique Barbosa</t>
  </si>
  <si>
    <t>Masculino</t>
  </si>
  <si>
    <t>6 meses a 1 ano</t>
  </si>
  <si>
    <t>Musculação</t>
  </si>
  <si>
    <t>13 anos</t>
  </si>
  <si>
    <t>gabrielhbarbosa@hotmail.com</t>
  </si>
  <si>
    <t>16 991049037</t>
  </si>
  <si>
    <t>Rua Paraná, 1511 - Alto do Ipiranga</t>
  </si>
  <si>
    <t>https://drive.google.com/open?id=1iPOdSyBqpfpZ7C1l7RgJCB2qLU_xqo9w</t>
  </si>
  <si>
    <t>Hugo Ribeiro Morais</t>
  </si>
  <si>
    <t>4 anos</t>
  </si>
  <si>
    <t>Vôlei</t>
  </si>
  <si>
    <t>hugo_rybeyro@hotmail.com</t>
  </si>
  <si>
    <t>Rua Lafaiete, 1107 Ap 31</t>
  </si>
  <si>
    <t>https://drive.google.com/open?id=1H5sCd4Uu4DLCsDIItTXSuTMTQV2mM9xa</t>
  </si>
  <si>
    <t>Danilo Zaparoli</t>
  </si>
  <si>
    <t>3 meses a 6 meses</t>
  </si>
  <si>
    <t>Dores nos joelhos</t>
  </si>
  <si>
    <t>danilozaparoli@gmail.com</t>
  </si>
  <si>
    <t>16-99784-2221</t>
  </si>
  <si>
    <t>Rua Lázara Maria de Oliveira Muniz, 100</t>
  </si>
  <si>
    <t>https://drive.google.com/open?id=16bay6by2kRsdScVd7ckCM2OwS86gUa1x</t>
  </si>
  <si>
    <t>Giuliana Bortolotti Muller</t>
  </si>
  <si>
    <t>6 meses</t>
  </si>
  <si>
    <t>gbmuller@hcrp.usp.br</t>
  </si>
  <si>
    <t>Albert Einstein 1360, apto 24B</t>
  </si>
  <si>
    <t>https://drive.google.com/open?id=1dIKfFgIoZAId2Ape8Zfvo792IIrBTroX</t>
  </si>
  <si>
    <t>Gabriel Fernando Frezarini</t>
  </si>
  <si>
    <t>gabfrezarini@gmail.com</t>
  </si>
  <si>
    <t>16 93618-0935</t>
  </si>
  <si>
    <t>Rua Augusto Francisco Camelo, 202</t>
  </si>
  <si>
    <t>https://drive.google.com/open?id=14iYSsxlPt78j6A7xmFXCV02atpzhTvB7</t>
  </si>
  <si>
    <t>Vinicius Paulo Hlilario Silva</t>
  </si>
  <si>
    <t>Lesão no lábio acetabular esquerdo e cirurgia na mão direita por causa da sindrome do tunel do carpo</t>
  </si>
  <si>
    <t>viniciusphilario@gmail.com</t>
  </si>
  <si>
    <t>RUA HUMAITA, 381, APTO 41, SANTA CRUZ DO JOSE JACQUES, RIBEIRAO PRETO/SP - 14020-680</t>
  </si>
  <si>
    <t>Rafael da Silva Tavares</t>
  </si>
  <si>
    <t>2 anos</t>
  </si>
  <si>
    <t>Cirurgia meniscal no joelho direito</t>
  </si>
  <si>
    <t>rafinha.adr@gmail.com</t>
  </si>
  <si>
    <t>Rua General Osório</t>
  </si>
  <si>
    <t>Giovanna Jesus Gonçalves Julio</t>
  </si>
  <si>
    <t>giovannajgj@gmail.com</t>
  </si>
  <si>
    <t>Rua José Arigó 1637</t>
  </si>
  <si>
    <t>Marina Rios</t>
  </si>
  <si>
    <t>23 anos</t>
  </si>
  <si>
    <t>Já operei o joelho esquerdo menisco e LCA mas me recuperei e retornei as atividades normalmente.</t>
  </si>
  <si>
    <t>Marina.a.rios@gmail.com</t>
  </si>
  <si>
    <t>marina.a.rios@gmail.com</t>
  </si>
  <si>
    <t>Rua Piracicaba 500 Ap 43</t>
  </si>
  <si>
    <t>Vinicius Mendonça Sônego</t>
  </si>
  <si>
    <t>3 anos e meio</t>
  </si>
  <si>
    <t>viniisonego@gmail.com</t>
  </si>
  <si>
    <t>Rua Chile 832 Apto 34 Ribeirão Preto</t>
  </si>
  <si>
    <t>https://drive.google.com/open?id=1IidYo8X0Jj2zs0reJz-IKNEBIA6sxE1D</t>
  </si>
  <si>
    <t>Cristine Elaine Gomes</t>
  </si>
  <si>
    <t>cristine.gomess@gmail.com</t>
  </si>
  <si>
    <t>Rua João Batista santanna, 215</t>
  </si>
  <si>
    <t>https://drive.google.com/open?id=15BudcvS2hagE1Z1PdBTU6-pv6DctwYYf</t>
  </si>
  <si>
    <t>Mylena Cristina Kamada Zorzetto</t>
  </si>
  <si>
    <t>Corrida / Calistenia</t>
  </si>
  <si>
    <t>2 meses / 3 meses</t>
  </si>
  <si>
    <t>mylena@kamada.com.br</t>
  </si>
  <si>
    <t>Rua Zequinha de Abreu, 634</t>
  </si>
  <si>
    <t>Paulo Henrique Paulino</t>
  </si>
  <si>
    <t>Corrida / musculação</t>
  </si>
  <si>
    <t>Ph-godoy@hotmail.com</t>
  </si>
  <si>
    <t>ph-godoy@hotmail.com</t>
  </si>
  <si>
    <t>Piracicaba 500</t>
  </si>
  <si>
    <t>Rafael Perrotta Orlandini</t>
  </si>
  <si>
    <t>3 anos</t>
  </si>
  <si>
    <t>Ginastica</t>
  </si>
  <si>
    <t>r.perrottaorlandini@gmail.com</t>
  </si>
  <si>
    <t>Rua Guarujá 1152, jardim paulistano</t>
  </si>
  <si>
    <t>Dauany Tupynambá Moraes</t>
  </si>
  <si>
    <t>Spinning</t>
  </si>
  <si>
    <t>Algumas lesões nos tornozelos e hérnias de disco</t>
  </si>
  <si>
    <t>dtmoraes@yahoo.com.br</t>
  </si>
  <si>
    <t>dtmoraes@usp.br</t>
  </si>
  <si>
    <t>Avenida Leão XIII, 3900, Lagoinha, apartamento 314</t>
  </si>
  <si>
    <t>https://drive.google.com/open?id=1GaildVjlpLF0whSXQARofO0VBv6Y7dTP</t>
  </si>
  <si>
    <t>Lucio Henrique Rezende Azevedo</t>
  </si>
  <si>
    <t>Musculação / Acrobacia (ACROYOGA)</t>
  </si>
  <si>
    <t>Rompimento do tendão distal da cabeça longa do bíceps</t>
  </si>
  <si>
    <t>lucioazevedo2015@gmail.com</t>
  </si>
  <si>
    <t>Rua Dr. Carlos Chagas Filho,210 
Ap 23</t>
  </si>
  <si>
    <t>Daniela Colombini</t>
  </si>
  <si>
    <t>Yoga / Handstand (Ginástica)</t>
  </si>
  <si>
    <t>Epicondilite</t>
  </si>
  <si>
    <t>daninn2012@gmail.com</t>
  </si>
  <si>
    <t>Rua Dr Benjamin Anderson Stauffer, 777</t>
  </si>
  <si>
    <t>Davidson Scavacini</t>
  </si>
  <si>
    <t>davidson.scavacini@gmail.com</t>
  </si>
  <si>
    <t>Rua Albertina Tonon Boschin, 660 - Ribeirão Preto - SP, Brasil</t>
  </si>
  <si>
    <t>https://drive.google.com/open?id=1aF1MCVPT5-aRqtJcTzPWek8OJ4j4-kSy</t>
  </si>
  <si>
    <t>Joshua dos Santos</t>
  </si>
  <si>
    <t>Musculação / Calistenia</t>
  </si>
  <si>
    <t>mais de 7 anos</t>
  </si>
  <si>
    <t>joshua.santosjsc@gmail.com</t>
  </si>
  <si>
    <t>Joshua.santosjsc@gmail.com</t>
  </si>
  <si>
    <t>Rua Monsenhor João Laureano</t>
  </si>
  <si>
    <t>https://drive.google.com/open?id=1txPXbNB5lp55t7jPy3Z4mVkSTpe9NKP6</t>
  </si>
  <si>
    <t>Rafael De Carvalho Salgado</t>
  </si>
  <si>
    <t>Pilates</t>
  </si>
  <si>
    <t>rafasalga@hotmail.com</t>
  </si>
  <si>
    <t>Rua Albertina Tonon Boschin
660</t>
  </si>
  <si>
    <t>https://drive.google.com/open?id=1yuwMJghxEp8UpncTR-hB3MO86DnfJbwc</t>
  </si>
  <si>
    <t>Igor Antônio Pereira</t>
  </si>
  <si>
    <t>mais de 5 anos</t>
  </si>
  <si>
    <t>Calistenia</t>
  </si>
  <si>
    <t>igor2802@usp.br</t>
  </si>
  <si>
    <t>Sertãozinho-SP, R. Manoel Rodrigues Braz, n°91</t>
  </si>
  <si>
    <t>https://drive.google.com/open?id=1buBs22RRzVn3OF2So7qIoFhl6ZJ30Wsc</t>
  </si>
  <si>
    <t>Bárbara Meira da Silva</t>
  </si>
  <si>
    <t>Corrida</t>
  </si>
  <si>
    <t>1 a 2 vezes na semana</t>
  </si>
  <si>
    <t>barbara.meira@usp.br</t>
  </si>
  <si>
    <t>Rua rio Purus 940</t>
  </si>
  <si>
    <t>https://drive.google.com/open?id=10NcaEZIf50bNA9I_5gv9OiQBFSDSWfiX</t>
  </si>
  <si>
    <t>Marlon Araujo</t>
  </si>
  <si>
    <t>Musculação / Natação</t>
  </si>
  <si>
    <t>mais de 10 anos</t>
  </si>
  <si>
    <t>Marlon@hemocentro.fmrp.usp.br</t>
  </si>
  <si>
    <t>marlon@hemocentro.fmrp.usp.br</t>
  </si>
  <si>
    <t>Rua Niterói 650</t>
  </si>
  <si>
    <t>Osorio Rocha de Oliveira</t>
  </si>
  <si>
    <t>osoriorocha2018@gmail.com</t>
  </si>
  <si>
    <t>Osório José da Silva</t>
  </si>
  <si>
    <t>https://drive.google.com/open?id=1R09BXm3_QjeoBtB73lnVykhQCD7daOJq</t>
  </si>
  <si>
    <t>Sandra Gelfuso</t>
  </si>
  <si>
    <t>1 a 2</t>
  </si>
  <si>
    <t>Nao</t>
  </si>
  <si>
    <t>Sandragelfuso@mail.com</t>
  </si>
  <si>
    <t>sandragelfuso@gmail.com</t>
  </si>
  <si>
    <t>Rua cajueiro 584</t>
  </si>
  <si>
    <t>Lucas Francisco Arruda Mendonça</t>
  </si>
  <si>
    <t>Vôlei / Corrida</t>
  </si>
  <si>
    <t>lucasfarrudam@usp.br</t>
  </si>
  <si>
    <t>Monte alegre</t>
  </si>
  <si>
    <t>https://drive.google.com/open?id=17zlfX_4Mj8Fh6zLpZEiWfBnZddtDPP3E</t>
  </si>
  <si>
    <t>Jessica Engel da Silva Santos</t>
  </si>
  <si>
    <t>jssica.engel@yahoo.com</t>
  </si>
  <si>
    <t>Rua Duque de Caxias, 473 Ap 23 Centro</t>
  </si>
  <si>
    <t>https://drive.google.com/open?id=1U5z2E3G04NJXmLS4nBrPVXd8Ns1k5EYm</t>
  </si>
  <si>
    <t>Rodrigo Lamonato</t>
  </si>
  <si>
    <t>2 vezes na semana</t>
  </si>
  <si>
    <t>rodrigolamonato@icloud.com</t>
  </si>
  <si>
    <t>Rua José curvelo da Silveira Júnior , 395 apto 32</t>
  </si>
  <si>
    <t>https://drive.google.com/open?id=1scsa-9askLY8RQ4yFGTgz8OJDq4Op6O9</t>
  </si>
  <si>
    <t>Natália Cattin Dos Santos</t>
  </si>
  <si>
    <t>Lesão punho e ombros</t>
  </si>
  <si>
    <t>natycattin@hotmail.com</t>
  </si>
  <si>
    <t xml:space="preserve">Via José Morães dos Santos, 1000
Chácara </t>
  </si>
  <si>
    <t>Amanda Ehmke</t>
  </si>
  <si>
    <t>Musculação 4 a 5 e Futevôlei 4 a 7 .</t>
  </si>
  <si>
    <t>aehmke@alumni.usp.br</t>
  </si>
  <si>
    <t>JOSE ZORZENON, 303</t>
  </si>
  <si>
    <t>https://drive.google.com/open?id=1eT_nJo901X9ehWktSDejyX92F0A6P1nN</t>
  </si>
  <si>
    <t>Diego Iglesias</t>
  </si>
  <si>
    <t>diegoiferracini@gmail.com</t>
  </si>
  <si>
    <t>Antônino Pagano, 453</t>
  </si>
  <si>
    <t>https://drive.google.com/open?id=1SV-M5crWzkXh_9xgdESI9x5-abmvIfka</t>
  </si>
  <si>
    <t>Nathany Vieira Marques</t>
  </si>
  <si>
    <t>nathanymarquesvieira@gmail.com</t>
  </si>
  <si>
    <t>16 981150411</t>
  </si>
  <si>
    <t>Rondônia n°108
108</t>
  </si>
  <si>
    <t>Isabella Leme dos Santos</t>
  </si>
  <si>
    <t>isabellalemesantos@usp.br</t>
  </si>
  <si>
    <t>(16) 988059510</t>
  </si>
  <si>
    <t>Rua Sargento Silvio Delmar Hollenbech</t>
  </si>
  <si>
    <t>https://drive.google.com/open?id=11RW4f6Yn2XTyh0rp7Jd9l1Qsgz6aX2d4</t>
  </si>
  <si>
    <t>Athos Alberto Ferroni de Siqueira</t>
  </si>
  <si>
    <t>Obstrução respiratória (desvio de septo)</t>
  </si>
  <si>
    <t>stecorina@gmail.com</t>
  </si>
  <si>
    <t>Av Paranapanema 155, bloco 5 ap 102, Sumarezinho</t>
  </si>
  <si>
    <t>https://drive.google.com/open?id=1-ylrh9wLf7haW0HUp93IaiS9IhBzjzz5</t>
  </si>
  <si>
    <t>Mateus de Andrade Barbosa</t>
  </si>
  <si>
    <t>Judô</t>
  </si>
  <si>
    <t>20 anos</t>
  </si>
  <si>
    <t>mateusbarbosa.professor@gmail.com</t>
  </si>
  <si>
    <t>Rua Constantino Spiropulos, 29</t>
  </si>
  <si>
    <t>Ana Carolina Kersul</t>
  </si>
  <si>
    <t>ackersul@gmail.com</t>
  </si>
  <si>
    <t>Doutor João Guião, 946</t>
  </si>
  <si>
    <t>Rafaela Heloisa Moura de Souza</t>
  </si>
  <si>
    <t>Tendinite no ombro direito</t>
  </si>
  <si>
    <t>rafaelamourapersonal@gmail.com</t>
  </si>
  <si>
    <t>Manoel margatho, 343. Jardim primavera. Cravinhos sp</t>
  </si>
  <si>
    <t>https://drive.google.com/open?id=1-rFxEkAnrMqE7Ni3rbEl9CUPv_7Xiqse</t>
  </si>
  <si>
    <t>Caio Henrique De Andreia</t>
  </si>
  <si>
    <t>6 anos</t>
  </si>
  <si>
    <t>caio_hda@hotmail.com</t>
  </si>
  <si>
    <t>Rua Itapetininga 275</t>
  </si>
  <si>
    <t>Mariana Ferreira da Rosa</t>
  </si>
  <si>
    <t>Futebol / Futevolei / Musculação</t>
  </si>
  <si>
    <t>5 a 7</t>
  </si>
  <si>
    <t>mariana28_02@hotmail.com</t>
  </si>
  <si>
    <t>Rua amador bueno, 840</t>
  </si>
  <si>
    <t>Bruno Cavali Oliveira</t>
  </si>
  <si>
    <t>Musculação -</t>
  </si>
  <si>
    <t>11 anos</t>
  </si>
  <si>
    <t>Hérnia de disco, mas não me limita</t>
  </si>
  <si>
    <t>brunocavalioliveira@gmail.com</t>
  </si>
  <si>
    <t>.</t>
  </si>
  <si>
    <t>Rua Monte alegre 180, Ribeirão Preto</t>
  </si>
  <si>
    <t>https://drive.google.com/open?id=1NmT9B1TC2xiSmRkXYF4-kb1pUpHJ5L9S</t>
  </si>
  <si>
    <t>Gabriel Cangemi Fratassi</t>
  </si>
  <si>
    <t>gabrielfratassi@gmail.com</t>
  </si>
  <si>
    <t>(16) 99737-6281</t>
  </si>
  <si>
    <t>Rua Epitacio Pessoa 1460, Vila Tiberio, Ribeirão Preto SP</t>
  </si>
  <si>
    <t>Vanessa Vico Cesca</t>
  </si>
  <si>
    <t>vanessavcesca@hotmail.com</t>
  </si>
  <si>
    <t>16 981428338</t>
  </si>
  <si>
    <t>Rua Pedro Degani, 80 apto 58</t>
  </si>
  <si>
    <t>https://drive.google.com/open?id=1gS0hiCvNfgUYCbr_NDoJz8NBk-uM9gik</t>
  </si>
  <si>
    <t>Ana Laura Óboli Bueno</t>
  </si>
  <si>
    <t>3 meses</t>
  </si>
  <si>
    <t>Aproximadamente 5 por semana</t>
  </si>
  <si>
    <t>alauraobolibueno@gmail.com</t>
  </si>
  <si>
    <t>Rua Monte Alegre, 180 Vila Monte Alegre apto 1308</t>
  </si>
  <si>
    <t>https://drive.google.com/open?id=1yHPmpPmBA98SPM3LG7OPFiGse9nv6Cfm</t>
  </si>
  <si>
    <t>Gustavo Branquinho do Carmo</t>
  </si>
  <si>
    <t>gustavobranquinho18@usp.br</t>
  </si>
  <si>
    <t>Av. do Cafe, 1243 - vila amelia</t>
  </si>
  <si>
    <t>Gerson pintar junior</t>
  </si>
  <si>
    <t>5h</t>
  </si>
  <si>
    <t>gersonpintar@hotmail.com</t>
  </si>
  <si>
    <t>Rua vera cruz n 31 ap12</t>
  </si>
  <si>
    <t>https://drive.google.com/open?id=1UGcjGZwL507VRe6suGbt4eLklXTcr9--</t>
  </si>
  <si>
    <t>Erik Alexandre Barbato</t>
  </si>
  <si>
    <t>Corrida -  2 anos</t>
  </si>
  <si>
    <t>4 a 6  por semana</t>
  </si>
  <si>
    <t>Condropatia no joelho esquerdo e artrose nos dois joelhos</t>
  </si>
  <si>
    <t>gibipiercing@hotmail.com</t>
  </si>
  <si>
    <t>16 98858-8115</t>
  </si>
  <si>
    <t>Rua Barão do Amazonas, 2339</t>
  </si>
  <si>
    <t>https://drive.google.com/open?id=1NTtTHuF_5E3sYK94mnOKbWfv_o7FYpQL</t>
  </si>
  <si>
    <t>José Henrique Buchino Filho</t>
  </si>
  <si>
    <t>buchinojose@gmail.com</t>
  </si>
  <si>
    <t>João Perone 205 Nova aliança</t>
  </si>
  <si>
    <t>Gilberto conceição de Souza</t>
  </si>
  <si>
    <t>srd.gil13@gmail.com</t>
  </si>
  <si>
    <t>Avenida Guido Golfeto 735 - campos Elíseos</t>
  </si>
  <si>
    <t>https://drive.google.com/open?id=1K3jD5ZvYzqErpfDSNFJQhsjVHpRIv285</t>
  </si>
  <si>
    <t>Ricardo de Oliveira Lima</t>
  </si>
  <si>
    <t>Natação / Pilates / Corrida</t>
  </si>
  <si>
    <t>2 anos/ 2 anos / 6 anos</t>
  </si>
  <si>
    <t>Natação: 3 ; Pilates e Corrida de rua: 2</t>
  </si>
  <si>
    <t>ricardo803760@gmail.com</t>
  </si>
  <si>
    <t>(16) 98808-5047</t>
  </si>
  <si>
    <t>Rua Rondônia, 607, Ap. 12, Sumarezinho, CEP: 14055-230, Ribeirão Preto-SP</t>
  </si>
  <si>
    <t>Renata Klemp Orlandini</t>
  </si>
  <si>
    <t>renata.orlandini@usp.br</t>
  </si>
  <si>
    <t>Sumarezinho</t>
  </si>
  <si>
    <t>Henrique Pina</t>
  </si>
  <si>
    <t>Henrique.Pina.8@gmail.com</t>
  </si>
  <si>
    <t>Rua Maracaju nº1110</t>
  </si>
  <si>
    <t>Rafael Penariol Sampaio</t>
  </si>
  <si>
    <t>penariol.rafael@outlook.com</t>
  </si>
  <si>
    <t>Avenida Portugal 2433</t>
  </si>
  <si>
    <t>https://drive.google.com/open?id=1onzFCZD8IsR2KsUWXZMFoRZg4jiSqtje</t>
  </si>
  <si>
    <t>Bruno Brieda Marafon</t>
  </si>
  <si>
    <t>brunobmarafon@gmail.com</t>
  </si>
  <si>
    <t>(19) 9 9196-4684</t>
  </si>
  <si>
    <t>Avenida Paranapanema, 155 - Sumarezinho, Ribeirão Preto/SP</t>
  </si>
  <si>
    <t>Henrique Theodoro</t>
  </si>
  <si>
    <t>Fascite plantar e Canelite</t>
  </si>
  <si>
    <t>htheodoro@gmail.com</t>
  </si>
  <si>
    <t>16 99306-3773</t>
  </si>
  <si>
    <t>Rua Bela Vista, 1378 Ribeirão Preto CEP 14051-070</t>
  </si>
  <si>
    <t>https://drive.google.com/open?id=1WNQwXlBitZJZhCUZ3x8UR4i6WA4zqkDd</t>
  </si>
  <si>
    <t>Ligia Motta</t>
  </si>
  <si>
    <t>ligiamotta.s@gmail.com</t>
  </si>
  <si>
    <t>Rua Luciana Mara Ignacio 30</t>
  </si>
  <si>
    <t>Giovanna Liberatori Bassani Machado</t>
  </si>
  <si>
    <t>Fiz cirurgia de LCA e menisco no joelho esquerdo, fazem 10 anos, então hoje em dia não me atrapalha em nada. Só preciso ter atenção ao movimento</t>
  </si>
  <si>
    <t>giliberatori@gmail.com</t>
  </si>
  <si>
    <t>Rua Bernadino de Campos, 435. Apt 201. Centro</t>
  </si>
  <si>
    <t>Rogerio Valentim Cerqueira</t>
  </si>
  <si>
    <t>Joelho</t>
  </si>
  <si>
    <t>rvc_rp@hotmail.com</t>
  </si>
  <si>
    <t>16 98812 7708</t>
  </si>
  <si>
    <t>Rua Medeiros de Albuquerque N 140</t>
  </si>
  <si>
    <t>Gesiel Matheus de Oliveira Silva</t>
  </si>
  <si>
    <t>Rompimento do bíceps</t>
  </si>
  <si>
    <t>matheus_gesiel@hotmail.com</t>
  </si>
  <si>
    <t>matheus&amp;gesiel@hotmail.com</t>
  </si>
  <si>
    <t>016 991002595</t>
  </si>
  <si>
    <t>Rua Wilson Petean 105</t>
  </si>
  <si>
    <t>Murillo Fernandes Battigaglia</t>
  </si>
  <si>
    <t>Mf.battigaglia@gmail.com</t>
  </si>
  <si>
    <t>mf.battigaglia@gmail.com</t>
  </si>
  <si>
    <t>Av barão do bananal, 950 apto 27 torre 1</t>
  </si>
  <si>
    <t>https://drive.google.com/open?id=1ber0V-AFs7mGofWWBOjda_-xmfoOMbDZ</t>
  </si>
  <si>
    <t>Michel Marcossi Cintra</t>
  </si>
  <si>
    <t>michel.marcossi.mmc@gmail.com</t>
  </si>
  <si>
    <t>Manoel Lopes Velludo 100, Nova aliança</t>
  </si>
  <si>
    <t>https://drive.google.com/open?id=1GcgxWxr1dPyPfL7WhZID8_Ka1HJOh73R</t>
  </si>
  <si>
    <t>Gabriella Mitsue Reis Imanobu</t>
  </si>
  <si>
    <t>Lesão do joelho direito</t>
  </si>
  <si>
    <t>gabriellamitsue@usp.br</t>
  </si>
  <si>
    <t>Av do Café, 131</t>
  </si>
  <si>
    <t>https://drive.google.com/open?id=1kknx3zUH_HPj3sHup9MPDV0GEkuY8B0a</t>
  </si>
  <si>
    <t>Priscila Carla Alexandre</t>
  </si>
  <si>
    <t>Ciclismo</t>
  </si>
  <si>
    <t>Mais ou menos 3 anos</t>
  </si>
  <si>
    <t>No maximo 2</t>
  </si>
  <si>
    <t>Lilapingo@hotmail.com</t>
  </si>
  <si>
    <t>lilapingo@hotmail.com</t>
  </si>
  <si>
    <t>16 99119-1990</t>
  </si>
  <si>
    <t>Rua: Maria Fernandes Amoroso, 105</t>
  </si>
  <si>
    <t>https://drive.google.com/open?id=1mhpoeWBsBAMPYwu55rdSOrP9i5E3f1aU</t>
  </si>
  <si>
    <t>Talis Rafael Vilas Boas</t>
  </si>
  <si>
    <t>talisvb45@gmail.com</t>
  </si>
  <si>
    <t>Rua doutor Antônio Carlos Marçal 55</t>
  </si>
  <si>
    <t>Elias Palmeira de Menezes Junior</t>
  </si>
  <si>
    <t>Dança / Musculação / Corrida/ Ciclismo</t>
  </si>
  <si>
    <t>8h</t>
  </si>
  <si>
    <t>Hérnia inguinal</t>
  </si>
  <si>
    <t>Eliasjr_16@hotmail.com</t>
  </si>
  <si>
    <t>eliasjr_16@hotmail.com</t>
  </si>
  <si>
    <t>Av Maurílio Biagi 1510</t>
  </si>
  <si>
    <t>Eduardo Freitas dos Santos</t>
  </si>
  <si>
    <t>Natação / Corrida</t>
  </si>
  <si>
    <t>eduardo-freitas2201@hotmail.com</t>
  </si>
  <si>
    <t>Rua Cavalheiro Torquato Rizzi, Bosque das Juritis, Ribeirão Preto-SP, 2025</t>
  </si>
  <si>
    <t>Josiane David</t>
  </si>
  <si>
    <t>josianedavid@hotmail.com</t>
  </si>
  <si>
    <t>Raúl Peixoto 526 AP 22</t>
  </si>
  <si>
    <t>Giovana Calderani Yaekashi</t>
  </si>
  <si>
    <t>giyaekashi@gmail.com</t>
  </si>
  <si>
    <t>014 996263988</t>
  </si>
  <si>
    <t>Rua Severiano Amaro dos Santos, 45</t>
  </si>
  <si>
    <t>https://drive.google.com/open?id=1w_BtCn52k_uET858qZBORdJLRew93W9d</t>
  </si>
  <si>
    <t>Bruno Amaro</t>
  </si>
  <si>
    <t>brunoamaro.rp@gmail.com</t>
  </si>
  <si>
    <t>Rua Daniel Torrieri, 377</t>
  </si>
  <si>
    <t>João Marcio Marcílio</t>
  </si>
  <si>
    <t>joaomarcilio@hotmail.com</t>
  </si>
  <si>
    <t>Rua Luiz rinaldi 375 Jardim São Gabriel/jardinopolis SP</t>
  </si>
  <si>
    <t>Pedro Henrique Barbosa de Oliveira</t>
  </si>
  <si>
    <t>Volei</t>
  </si>
  <si>
    <t>pedrohenrique.barbosa@hotmail.com</t>
  </si>
  <si>
    <t>Rua Lafaiete 1616</t>
  </si>
  <si>
    <t>Bruno Rodrigues dos Santos</t>
  </si>
  <si>
    <t>Musculação / Esportes Coletivos</t>
  </si>
  <si>
    <t>Jpbrunohel@gmail.com</t>
  </si>
  <si>
    <t>jpbrunohel@gmail.com</t>
  </si>
  <si>
    <t>16 991903145</t>
  </si>
  <si>
    <t>Rua Rondônia, 1130</t>
  </si>
  <si>
    <t>Rodrigo Florian Marcelino</t>
  </si>
  <si>
    <t>Natação / Musculação</t>
  </si>
  <si>
    <t>2 a 3  por semana</t>
  </si>
  <si>
    <t>rfl.marcelino@hotmail.com</t>
  </si>
  <si>
    <t>Rua Itaguaçu 735</t>
  </si>
  <si>
    <t>Yuri Pereira Jorge</t>
  </si>
  <si>
    <t>Lesão no menisco</t>
  </si>
  <si>
    <t>yuripjorge@outlook.com</t>
  </si>
  <si>
    <t>Rua Vicente Oranges, 485 - Lagoinha</t>
  </si>
  <si>
    <t>Lais Rafaela da Silva</t>
  </si>
  <si>
    <t>Dança (Ballet) / Circo (Tecido Acrobatico)</t>
  </si>
  <si>
    <t>3 anos / 1 ano</t>
  </si>
  <si>
    <t>4h</t>
  </si>
  <si>
    <t>lais_rafaela@yahoo.com.br</t>
  </si>
  <si>
    <t>Rua Coronel Pedro Dias, 58</t>
  </si>
  <si>
    <t>Mateus Aparecido Romano</t>
  </si>
  <si>
    <t>10  semanais</t>
  </si>
  <si>
    <t>Mateus_romano_07@oultook.com</t>
  </si>
  <si>
    <t>mateus_romano_07@outlook.com</t>
  </si>
  <si>
    <t>16 991814552</t>
  </si>
  <si>
    <t>Monte Alegre</t>
  </si>
  <si>
    <t>Marcela Alves</t>
  </si>
  <si>
    <t>Síndrome do impacto no ombro</t>
  </si>
  <si>
    <t>Marcela.alves2@icloud.com</t>
  </si>
  <si>
    <t>marcela.alves2@icloud.com</t>
  </si>
  <si>
    <t>General câmara 1681</t>
  </si>
  <si>
    <t>https://drive.google.com/open?id=185h4gK7Kwx9czy_2wRm_9Z1g8bY8kndH</t>
  </si>
  <si>
    <t>Milena Egea Marin Guerreiro</t>
  </si>
  <si>
    <t>Milena.egea@gmail.com</t>
  </si>
  <si>
    <t>milena.egea@gmail.com</t>
  </si>
  <si>
    <t>Rua santo lania sobrinho, 89 - Portinari</t>
  </si>
  <si>
    <t>Leonardo Guindalini Lorenzato</t>
  </si>
  <si>
    <t>Futebol</t>
  </si>
  <si>
    <t>Cirurgia de LCA</t>
  </si>
  <si>
    <t>leonardolorenzato.adv@gmail.com</t>
  </si>
  <si>
    <t>Rua José Curvelo da Silveira Jr, 445</t>
  </si>
  <si>
    <t>https://drive.google.com/open?id=1eH9fz6KcfYmtS27ORZdSzkZ2NJRx6OeU</t>
  </si>
  <si>
    <t>Giovanni Jose de Souza</t>
  </si>
  <si>
    <t>9 anos</t>
  </si>
  <si>
    <t>giosoouza1@gmail.com</t>
  </si>
  <si>
    <t>Rua Prof Aylton Ricoy de Oliveira,605</t>
  </si>
  <si>
    <t>Rafael Durski</t>
  </si>
  <si>
    <t>Ginástica Artística</t>
  </si>
  <si>
    <t>rafaeldurski@usp.br</t>
  </si>
  <si>
    <t>rua monte alegre 180</t>
  </si>
  <si>
    <t>https://drive.google.com/open?id=1R2o7bLPmLSsSn2fw-qpIHF3v5032ZKh8</t>
  </si>
  <si>
    <t>Israel Nunes Silveira</t>
  </si>
  <si>
    <t>2 anos e meio</t>
  </si>
  <si>
    <t>8 h</t>
  </si>
  <si>
    <t>israeluoo@gmail.com</t>
  </si>
  <si>
    <t>Rua Aquidauana 447</t>
  </si>
  <si>
    <t>https://drive.google.com/open?id=1wFmwTarUfsG7ezbG4b_mdtTXDvIWkiLC</t>
  </si>
  <si>
    <t>João Vitor Marciente Faria</t>
  </si>
  <si>
    <t>joao_marciente@usp.br</t>
  </si>
  <si>
    <t>Rua dos Migrantes, 120</t>
  </si>
  <si>
    <t>https://drive.google.com/open?id=1iZ16PDtI30xbJY4BnPg0McJr4K_34-wT</t>
  </si>
  <si>
    <t>Juliana Dassoler Figueredo</t>
  </si>
  <si>
    <t>Corrida / Musculação</t>
  </si>
  <si>
    <t>mais de 1 ano</t>
  </si>
  <si>
    <t>corrida aprox 30 min, musculação 1:30h</t>
  </si>
  <si>
    <t>Lombar - hernia</t>
  </si>
  <si>
    <t>judassoler@gmail.com</t>
  </si>
  <si>
    <t>Rua Edno Fregonesi</t>
  </si>
  <si>
    <t>https://drive.google.com/open?id=1snA2a_IshveNXnGZernAFfYLpGYft2tP</t>
  </si>
  <si>
    <t>Mariana Habib Silva</t>
  </si>
  <si>
    <t>Treino Funcional (Personal - fortalecimento)</t>
  </si>
  <si>
    <t>2hs por semana</t>
  </si>
  <si>
    <t>2 hernias de disco e lesao no ombro</t>
  </si>
  <si>
    <t>marihabib2@gmail.com</t>
  </si>
  <si>
    <t>Rua Arnaud Capuzzo 180 apto 51</t>
  </si>
  <si>
    <t>https://drive.google.com/open?id=1mkfh0FgaQfzuYOCGKy6KjgvqAYEb-NcK</t>
  </si>
  <si>
    <t>Rebeca Elmi Chagas da Silva</t>
  </si>
  <si>
    <t>Dança / Treino funcional</t>
  </si>
  <si>
    <t>4 h</t>
  </si>
  <si>
    <t>Rebecaelmi21@usp.br</t>
  </si>
  <si>
    <t>rebecaelmi21@usp.br</t>
  </si>
  <si>
    <t>Guilherme schimidt, 533</t>
  </si>
  <si>
    <t>https://drive.google.com/open?id=1dvo_OYN4921buVahJOYydYaCWMGpU77w</t>
  </si>
  <si>
    <t>João Vitor Boaretto Cardoso</t>
  </si>
  <si>
    <t>ginástica Artística</t>
  </si>
  <si>
    <t>joaovb.cardoso@usp.br</t>
  </si>
  <si>
    <t>(19)987261230</t>
  </si>
  <si>
    <t>Rua aquidauana 728, monte alegre</t>
  </si>
  <si>
    <t>https://drive.google.com/open?id=11P4gTWxnkLiyqKe6kMQ41kU5NGLnZKzo</t>
  </si>
  <si>
    <t>João Pedro Ferreira Nogueira</t>
  </si>
  <si>
    <t>jpnogueira07@gmail.com</t>
  </si>
  <si>
    <t>16 982165188</t>
  </si>
  <si>
    <t>Rua Marcelo Perdiza 180</t>
  </si>
  <si>
    <t>https://drive.google.com/open?id=1LFYSLsyfnzj3Wj0dOOuSxJLpFHFeultg</t>
  </si>
  <si>
    <t>Bruno Grabert</t>
  </si>
  <si>
    <t>Tênis</t>
  </si>
  <si>
    <t>8 anos</t>
  </si>
  <si>
    <t>brunograbert@gmail.com</t>
  </si>
  <si>
    <t>Rua Pau Brasil, 431</t>
  </si>
  <si>
    <t>Davi Aleeke Boschini</t>
  </si>
  <si>
    <t>Futebol / Ciclismo</t>
  </si>
  <si>
    <t>4 meses / 1 mês</t>
  </si>
  <si>
    <t>Futebol: 1h. Ciclismo: 1h a 1:30h</t>
  </si>
  <si>
    <t>davi_boschini@hotmail.com</t>
  </si>
  <si>
    <t>Mitsuo Shimokomaki
636</t>
  </si>
  <si>
    <t>https://drive.google.com/open?id=1jaNEWUZ0Ey3IZ5YGi-r_z58k0SAgLYwh</t>
  </si>
  <si>
    <t>João Henrique Gonzales Sarmento</t>
  </si>
  <si>
    <t>5 meses</t>
  </si>
  <si>
    <t>jhgonzalespersonal@gmail.com</t>
  </si>
  <si>
    <t>Epitácio Pessoa
177</t>
  </si>
  <si>
    <t>Johnnys da Silva Hortencio</t>
  </si>
  <si>
    <t>1h</t>
  </si>
  <si>
    <t>Eu já tive um distensão nervosa ntre a escápula e ombro direito.</t>
  </si>
  <si>
    <t>johnnys@usp.br</t>
  </si>
  <si>
    <t>Rua paraíso 1476</t>
  </si>
  <si>
    <t>https://drive.google.com/open?id=1IpkUlVCKdxQIqgaonxMrDahzplkf1NpW</t>
  </si>
  <si>
    <t>Vanessa Moreira Figueiredo</t>
  </si>
  <si>
    <t>vanmf.figueiredo@gmail.com</t>
  </si>
  <si>
    <t>16 99721-0421</t>
  </si>
  <si>
    <t>Rua João e Guiomar Soeira 155 bl 31 apto 401 reserva real Ribeirão Preto</t>
  </si>
  <si>
    <t>Leticia Martin Ferro dos Reis</t>
  </si>
  <si>
    <t>leticia.m.ferro@gmail.com</t>
  </si>
  <si>
    <t>Rua: Aquidauana,921</t>
  </si>
  <si>
    <t>https://drive.google.com/open?id=1lbO9jgQhCfwutB04CwB2kp2ktoSij8s1</t>
  </si>
  <si>
    <t>Gustavo Fabris Costa</t>
  </si>
  <si>
    <t>gustavoxguerreiro@gmail.com</t>
  </si>
  <si>
    <t>(016) 997886645</t>
  </si>
  <si>
    <t>Av. Primeiro de Maio, 1386.</t>
  </si>
  <si>
    <t>Jean Paulo Hilário Silva</t>
  </si>
  <si>
    <t>Ginástica Artística / Calistenia</t>
  </si>
  <si>
    <t>jeanphilario@gmail.com</t>
  </si>
  <si>
    <t>Avenida Guilhermina Cunha Coelho
230 / Bloco 6 / Apto 404</t>
  </si>
  <si>
    <t>Douglas Henrique</t>
  </si>
  <si>
    <t>douglassaopaulo@outlook.com</t>
  </si>
  <si>
    <t>Marcelo Rodrigues Agostinho</t>
  </si>
  <si>
    <t>Girrim Rick Luo</t>
  </si>
  <si>
    <t>girrimluo@usp.br</t>
  </si>
  <si>
    <t>(16)98838-9521</t>
  </si>
  <si>
    <t>RUA ÁLVARES CABRAL, 568 - ap 72  - CENTRO , RIBEIRÃO PRETO - SÃO PAULO</t>
  </si>
  <si>
    <t>Márcio Henrique Rodrigues Silva</t>
  </si>
  <si>
    <t>Escalada/ Calistenia</t>
  </si>
  <si>
    <t>tenho problemas no nervo ciático. Mas desde que treinei calistenia e parei de correr, não sinto praticamente nada.</t>
  </si>
  <si>
    <t>marcio_henrique@calisteniainteligente.com</t>
  </si>
  <si>
    <t>16 99345-1396</t>
  </si>
  <si>
    <t>Rua Afra Gouveia Galão, 114, Jardim Itamarati.  Cravinhos - SP</t>
  </si>
  <si>
    <t>Henrique Jorge Novaes Morgan</t>
  </si>
  <si>
    <t>Yoga / Ginastica Artistica</t>
  </si>
  <si>
    <t>7 anos / 1 anos</t>
  </si>
  <si>
    <t>3 a 4</t>
  </si>
  <si>
    <t>morgan.hjn@hotmail.com</t>
  </si>
  <si>
    <t>R. João Venâncio da Silva, 615</t>
  </si>
  <si>
    <t>https://drive.google.com/open?id=1n_n3zbrzm7Np1RuiOh61RAiZTlYNjRGJ</t>
  </si>
  <si>
    <t>Marla Alves da Silva</t>
  </si>
  <si>
    <t>Mah23.alves@gmail.com</t>
  </si>
  <si>
    <t>mah23.alves@gmail.com</t>
  </si>
  <si>
    <t>Rua conselheiro Saraiva,874</t>
  </si>
  <si>
    <t>Claudia Massoli Comin Gusson</t>
  </si>
  <si>
    <t>claudiargbmassoli@gmail.com</t>
  </si>
  <si>
    <t>Rua Francisco evangelista 230 AP 35 torre 04</t>
  </si>
  <si>
    <t>Elisa Rodrigues de Oliveira Grabert</t>
  </si>
  <si>
    <t>Corrida. Há 3 anos.</t>
  </si>
  <si>
    <t>4 a 6</t>
  </si>
  <si>
    <t>Elisa-rodrigues@hotmail.com</t>
  </si>
  <si>
    <t>elisa-rodrigues@hotmail.com</t>
  </si>
  <si>
    <t>16 99791-6740</t>
  </si>
  <si>
    <t>16 98146-0946</t>
  </si>
  <si>
    <t>https://drive.google.com/open?id=1kf7_RSWWlIDoDog6yOAmnmtR7zVpaBec</t>
  </si>
  <si>
    <t>Camila Cintra Gomes</t>
  </si>
  <si>
    <t>Camila.cintra.gomes@usp.br</t>
  </si>
  <si>
    <t>camila.cintra.gomes@usp.br</t>
  </si>
  <si>
    <t>Rua José curvelo da Silveira Júnior, 445</t>
  </si>
  <si>
    <t>https://drive.google.com/open?id=1upMtbvi34OyVeOD6YCV3JamqHeTLm9uA</t>
  </si>
  <si>
    <t>Tamires Kathyane Correia Kamimura</t>
  </si>
  <si>
    <t>Tamireskamimura@hotmail.com</t>
  </si>
  <si>
    <t>tamireskamimura@hotmail.com</t>
  </si>
  <si>
    <t>Rua Luiz Barreto 1398</t>
  </si>
  <si>
    <t>Victor Mesquita Nascimento dos Santos</t>
  </si>
  <si>
    <t>Futsal e futebol, 1 ano.</t>
  </si>
  <si>
    <t>3 horas por semana</t>
  </si>
  <si>
    <t>victormesquitans@gmail.com</t>
  </si>
  <si>
    <t>Rua Antônio Ribeiro de Rezende, 1208</t>
  </si>
  <si>
    <t>https://drive.google.com/open?id=1ydP6mnDJRmtqCYAo40ado53BCvAV601l</t>
  </si>
  <si>
    <t>GÊNERO</t>
  </si>
  <si>
    <t>FORÇA MÁXIMA NO SHOULDER PRESS RELATIVO A MASSA CORPORAL (%SP)</t>
  </si>
  <si>
    <t>REPETIÇÕES MÁXIMAS DE SHSPU EM 1’</t>
  </si>
  <si>
    <t>FORÇA MÁXIMA NO SHOULDER PRESS RELATIVA A MASSA CORPORAL (%SP)</t>
  </si>
  <si>
    <t>MÉDIA</t>
  </si>
  <si>
    <t>DESVIO-PADRÃO</t>
  </si>
  <si>
    <t>DISTRIBUIÇÃO NORMAL</t>
  </si>
  <si>
    <t>REGRESSÃO LINEAR</t>
  </si>
  <si>
    <t>HÁ QUANTO TEMPO PRATICA CROSSFIT®?</t>
  </si>
  <si>
    <t>MODALIDADES QUE INFLUENCIARIAM NO SHOULDER PRESS</t>
  </si>
  <si>
    <t>NÃO PRATICAM ESSAS MODALIDADES</t>
  </si>
  <si>
    <r>
      <rPr>
        <b/>
        <sz val="9"/>
        <color rgb="FFFFFFFF"/>
        <rFont val="Arial"/>
      </rPr>
      <t xml:space="preserve">MODALIDADES QUE INFLUENCIARIAM NO </t>
    </r>
    <r>
      <rPr>
        <b/>
        <i/>
        <sz val="9"/>
        <color rgb="FFFFFFFF"/>
        <rFont val="Arial"/>
      </rPr>
      <t>SHOULDER PRESS</t>
    </r>
  </si>
  <si>
    <t>NÚMERO DE PRATICANTES POR TEMPO DE PRÁTICA</t>
  </si>
  <si>
    <t>DISTRIBUIÇÃO NORMAL - MAX SHSPU</t>
  </si>
  <si>
    <t>DISTRIBUIÇÃO NORMAL - % SP</t>
  </si>
  <si>
    <t>#ERROR!</t>
  </si>
  <si>
    <t>Qual seu volume (em horas ) que treina  CrossFit® por semana?</t>
  </si>
  <si>
    <t>Musculação / Ginástica / Futevôlei</t>
  </si>
  <si>
    <t>7 anos / 7 anos / 3 anos</t>
  </si>
  <si>
    <t>circo / ginástica</t>
  </si>
  <si>
    <t>Ginástica</t>
  </si>
  <si>
    <t>Danças / Ginástica</t>
  </si>
  <si>
    <t xml:space="preserve">Musculação. </t>
  </si>
  <si>
    <t xml:space="preserve"> 4 anos</t>
  </si>
  <si>
    <t>3 anos / 8anos</t>
  </si>
  <si>
    <t>13 anos / 10 anos</t>
  </si>
  <si>
    <t>17 anos</t>
  </si>
  <si>
    <t>10 anos</t>
  </si>
  <si>
    <t>7 anos</t>
  </si>
  <si>
    <t>26 anos</t>
  </si>
  <si>
    <t>Circo / Ginastica</t>
  </si>
  <si>
    <t>1 ano e meio</t>
  </si>
  <si>
    <t>6 anos / 6 anos</t>
  </si>
  <si>
    <t>Musculação / Ginástica</t>
  </si>
  <si>
    <t>musculação 1 ano e meio</t>
  </si>
  <si>
    <t>Musculação 3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</si>
</sst>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7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9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scheme val="minor"/>
    </font>
    <font>
      <sz val="10"/>
      <color rgb="FFFFFFFF"/>
      <name val="Arial"/>
    </font>
    <font>
      <b/>
      <sz val="10"/>
      <color theme="1"/>
      <name val="Arial"/>
      <scheme val="minor"/>
    </font>
    <font>
      <b/>
      <sz val="9"/>
      <color rgb="FFFFFFFF"/>
      <name val="Arial"/>
    </font>
    <font>
      <b/>
      <i/>
      <sz val="9"/>
      <color rgb="FFFFFFFF"/>
      <name val="Arial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0" xfId="0" applyFont="1"/>
    <xf numFmtId="0" fontId="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9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5" xfId="0" applyFont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left"/>
    </xf>
    <xf numFmtId="0" fontId="2" fillId="0" borderId="6" xfId="0" applyFont="1" applyBorder="1"/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2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1" fillId="6" borderId="0" xfId="0" applyFont="1" applyFill="1"/>
    <xf numFmtId="0" fontId="0" fillId="6" borderId="0" xfId="0" applyFill="1"/>
    <xf numFmtId="0" fontId="16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2" xfId="0" applyFont="1" applyBorder="1"/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11" fillId="0" borderId="0" xfId="0" applyFont="1"/>
    <xf numFmtId="0" fontId="2" fillId="0" borderId="0" xfId="0" applyFont="1" applyBorder="1"/>
    <xf numFmtId="0" fontId="0" fillId="7" borderId="0" xfId="0" applyFill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000" b="1">
                <a:solidFill>
                  <a:srgbClr val="000000"/>
                </a:solidFill>
                <a:latin typeface="+mn-lt"/>
              </a:defRPr>
            </a:pPr>
            <a:r>
              <a:rPr lang="pt-BR" sz="1000" b="1">
                <a:solidFill>
                  <a:srgbClr val="000000"/>
                </a:solidFill>
                <a:latin typeface="+mn-lt"/>
              </a:rPr>
              <a:t>DISTRIBUIÇÃO NORMAL - MÁX. DE REP SHSPU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0-88B4-4996-8C18-FDC317EA4521}"/>
              </c:ext>
            </c:extLst>
          </c:dPt>
          <c:cat>
            <c:numRef>
              <c:f>'DADOS OCULTOS'!$A$2:$A$11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'DADOS OCULTOS'!$B$2:$B$11</c:f>
              <c:numCache>
                <c:formatCode>General</c:formatCode>
                <c:ptCount val="10"/>
                <c:pt idx="0">
                  <c:v>5.0464510427381093E-2</c:v>
                </c:pt>
                <c:pt idx="1">
                  <c:v>5.5507945417019935E-2</c:v>
                </c:pt>
                <c:pt idx="2">
                  <c:v>5.9527775781236483E-2</c:v>
                </c:pt>
                <c:pt idx="3">
                  <c:v>6.2241431689415441E-2</c:v>
                </c:pt>
                <c:pt idx="4">
                  <c:v>6.3450479275301619E-2</c:v>
                </c:pt>
                <c:pt idx="5">
                  <c:v>6.3064601375112439E-2</c:v>
                </c:pt>
                <c:pt idx="6">
                  <c:v>6.1112748743110096E-2</c:v>
                </c:pt>
                <c:pt idx="7">
                  <c:v>5.7739550145951883E-2</c:v>
                </c:pt>
                <c:pt idx="8">
                  <c:v>5.3187599376425095E-2</c:v>
                </c:pt>
                <c:pt idx="9">
                  <c:v>4.7768631192505441E-2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4-4996-8C18-FDC317EA4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243738"/>
        <c:axId val="1243847705"/>
      </c:lineChart>
      <c:catAx>
        <c:axId val="650243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43847705"/>
        <c:crosses val="autoZero"/>
        <c:auto val="1"/>
        <c:lblAlgn val="ctr"/>
        <c:lblOffset val="100"/>
        <c:noMultiLvlLbl val="1"/>
      </c:catAx>
      <c:valAx>
        <c:axId val="1243847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502437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000" b="1">
                <a:solidFill>
                  <a:schemeClr val="dk1"/>
                </a:solidFill>
                <a:latin typeface="+mn-lt"/>
              </a:defRPr>
            </a:pPr>
            <a:r>
              <a:rPr lang="pt-BR" sz="1000" b="1">
                <a:solidFill>
                  <a:schemeClr val="dk1"/>
                </a:solidFill>
                <a:latin typeface="+mn-lt"/>
              </a:rPr>
              <a:t>DISTRIBUIÇÃO NORMAL - % PR SP MASSA CORPORAL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'DADOS OCULTOS'!$C$2:$C$62</c:f>
              <c:numCache>
                <c:formatCode>General</c:formatCode>
                <c:ptCount val="6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</c:numCache>
            </c:numRef>
          </c:cat>
          <c:val>
            <c:numRef>
              <c:f>'DADOS OCULTOS'!$D$2:$D$62</c:f>
              <c:numCache>
                <c:formatCode>General</c:formatCode>
                <c:ptCount val="61"/>
                <c:pt idx="0">
                  <c:v>4.2501328364330689E-3</c:v>
                </c:pt>
                <c:pt idx="1">
                  <c:v>4.7673237640161615E-3</c:v>
                </c:pt>
                <c:pt idx="2">
                  <c:v>5.3268237581194514E-3</c:v>
                </c:pt>
                <c:pt idx="3">
                  <c:v>5.9290286165743075E-3</c:v>
                </c:pt>
                <c:pt idx="4">
                  <c:v>6.5738577531632642E-3</c:v>
                </c:pt>
                <c:pt idx="5">
                  <c:v>7.2607017259167369E-3</c:v>
                </c:pt>
                <c:pt idx="6">
                  <c:v>7.988374693405775E-3</c:v>
                </c:pt>
                <c:pt idx="7">
                  <c:v>8.7550734903400901E-3</c:v>
                </c:pt>
                <c:pt idx="8">
                  <c:v>9.5583450061441436E-3</c:v>
                </c:pt>
                <c:pt idx="9">
                  <c:v>1.0395063487326453E-2</c:v>
                </c:pt>
                <c:pt idx="10">
                  <c:v>1.1261419263025908E-2</c:v>
                </c:pt>
                <c:pt idx="11">
                  <c:v>1.2152920211785524E-2</c:v>
                </c:pt>
                <c:pt idx="12">
                  <c:v>1.3064407047320885E-2</c:v>
                </c:pt>
                <c:pt idx="13">
                  <c:v>1.3990083205222522E-2</c:v>
                </c:pt>
                <c:pt idx="14">
                  <c:v>1.4923559767083332E-2</c:v>
                </c:pt>
                <c:pt idx="15">
                  <c:v>1.5857915471875126E-2</c:v>
                </c:pt>
                <c:pt idx="16">
                  <c:v>1.6785771447219267E-2</c:v>
                </c:pt>
                <c:pt idx="17">
                  <c:v>1.7699379858227476E-2</c:v>
                </c:pt>
                <c:pt idx="18">
                  <c:v>1.8590725233157659E-2</c:v>
                </c:pt>
                <c:pt idx="19">
                  <c:v>1.9451636798653485E-2</c:v>
                </c:pt>
                <c:pt idx="20">
                  <c:v>2.0273909758721759E-2</c:v>
                </c:pt>
                <c:pt idx="21">
                  <c:v>2.1049433096582252E-2</c:v>
                </c:pt>
                <c:pt idx="22">
                  <c:v>2.1770321181968855E-2</c:v>
                </c:pt>
                <c:pt idx="23">
                  <c:v>2.2429046241683851E-2</c:v>
                </c:pt>
                <c:pt idx="24">
                  <c:v>2.3018568609319105E-2</c:v>
                </c:pt>
                <c:pt idx="25">
                  <c:v>2.3532461619389853E-2</c:v>
                </c:pt>
                <c:pt idx="26">
                  <c:v>2.3965028056758143E-2</c:v>
                </c:pt>
                <c:pt idx="27">
                  <c:v>2.4311405215647827E-2</c:v>
                </c:pt>
                <c:pt idx="28">
                  <c:v>2.4567655861499622E-2</c:v>
                </c:pt>
                <c:pt idx="29">
                  <c:v>2.473084271733773E-2</c:v>
                </c:pt>
                <c:pt idx="30">
                  <c:v>2.479908450456516E-2</c:v>
                </c:pt>
                <c:pt idx="31">
                  <c:v>2.477159204325128E-2</c:v>
                </c:pt>
                <c:pt idx="32">
                  <c:v>2.4648683443327102E-2</c:v>
                </c:pt>
                <c:pt idx="33">
                  <c:v>2.4431777977825198E-2</c:v>
                </c:pt>
                <c:pt idx="34">
                  <c:v>2.4123368803153068E-2</c:v>
                </c:pt>
                <c:pt idx="35">
                  <c:v>2.3726975259535273E-2</c:v>
                </c:pt>
                <c:pt idx="36">
                  <c:v>2.3247076027606679E-2</c:v>
                </c:pt>
                <c:pt idx="37">
                  <c:v>2.2689024916157565E-2</c:v>
                </c:pt>
                <c:pt idx="38">
                  <c:v>2.2058951494529865E-2</c:v>
                </c:pt>
                <c:pt idx="39">
                  <c:v>2.1363649146970032E-2</c:v>
                </c:pt>
                <c:pt idx="40">
                  <c:v>2.061045340426091E-2</c:v>
                </c:pt>
                <c:pt idx="41">
                  <c:v>1.9807113592569751E-2</c:v>
                </c:pt>
                <c:pt idx="42">
                  <c:v>1.8961660926773684E-2</c:v>
                </c:pt>
                <c:pt idx="43">
                  <c:v>1.8082276165459286E-2</c:v>
                </c:pt>
                <c:pt idx="44">
                  <c:v>1.7177159840924622E-2</c:v>
                </c:pt>
                <c:pt idx="45">
                  <c:v>1.6254407886835728E-2</c:v>
                </c:pt>
                <c:pt idx="46">
                  <c:v>1.532189521869644E-2</c:v>
                </c:pt>
                <c:pt idx="47">
                  <c:v>1.4387169490432932E-2</c:v>
                </c:pt>
                <c:pt idx="48">
                  <c:v>1.3457356868461298E-2</c:v>
                </c:pt>
                <c:pt idx="49">
                  <c:v>1.2539081248048645E-2</c:v>
                </c:pt>
                <c:pt idx="50">
                  <c:v>1.1638397901511952E-2</c:v>
                </c:pt>
                <c:pt idx="51">
                  <c:v>1.0760742109526907E-2</c:v>
                </c:pt>
                <c:pt idx="52">
                  <c:v>9.9108929004027325E-3</c:v>
                </c:pt>
                <c:pt idx="53">
                  <c:v>9.0929516210795664E-3</c:v>
                </c:pt>
                <c:pt idx="54">
                  <c:v>8.3103346994321224E-3</c:v>
                </c:pt>
                <c:pt idx="55">
                  <c:v>7.5657796396269069E-3</c:v>
                </c:pt>
                <c:pt idx="56">
                  <c:v>6.8613630277734091E-3</c:v>
                </c:pt>
                <c:pt idx="57">
                  <c:v>6.1985291184083408E-3</c:v>
                </c:pt>
                <c:pt idx="58">
                  <c:v>5.5781274254380385E-3</c:v>
                </c:pt>
                <c:pt idx="59">
                  <c:v>5.0004576536537212E-3</c:v>
                </c:pt>
                <c:pt idx="60">
                  <c:v>4.4653202763015511E-3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7-4CC4-B81F-233E7F3FA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161155"/>
        <c:axId val="832040291"/>
      </c:lineChart>
      <c:catAx>
        <c:axId val="564161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2040291"/>
        <c:crosses val="autoZero"/>
        <c:auto val="1"/>
        <c:lblAlgn val="ctr"/>
        <c:lblOffset val="100"/>
        <c:noMultiLvlLbl val="1"/>
      </c:catAx>
      <c:valAx>
        <c:axId val="832040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65,21299365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641611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300" b="1">
                <a:solidFill>
                  <a:srgbClr val="000000"/>
                </a:solidFill>
                <a:latin typeface="+mn-lt"/>
              </a:defRPr>
            </a:pPr>
            <a:r>
              <a:rPr lang="pt-BR" sz="1300" b="1">
                <a:solidFill>
                  <a:srgbClr val="000000"/>
                </a:solidFill>
                <a:latin typeface="+mn-lt"/>
              </a:rPr>
              <a:t>REPETIÇÕES MÁXIMAS DE SHSPU EM 1’ versus FORÇA MÁXIMA NO SHOULDER PRESS RELATIVO A MASSA CORPORAL (%SP)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'SHSPU VS %SP'!$C$1</c:f>
              <c:strCache>
                <c:ptCount val="1"/>
                <c:pt idx="0">
                  <c:v>REPETIÇÕES MÁXIMAS DE SHSPU EM 1’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28575">
                <a:solidFill>
                  <a:srgbClr val="980000">
                    <a:alpha val="80000"/>
                  </a:srgbClr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'SHSPU VS %SP'!$B$2:$B$109</c:f>
              <c:numCache>
                <c:formatCode>General</c:formatCode>
                <c:ptCount val="108"/>
                <c:pt idx="0">
                  <c:v>80.106809080000005</c:v>
                </c:pt>
                <c:pt idx="1">
                  <c:v>76.50273224</c:v>
                </c:pt>
                <c:pt idx="2">
                  <c:v>42.0131291</c:v>
                </c:pt>
                <c:pt idx="3">
                  <c:v>66.257668710000004</c:v>
                </c:pt>
                <c:pt idx="4">
                  <c:v>90.261282660000006</c:v>
                </c:pt>
                <c:pt idx="5">
                  <c:v>80.106809080000005</c:v>
                </c:pt>
                <c:pt idx="6">
                  <c:v>59.469941820000003</c:v>
                </c:pt>
                <c:pt idx="7">
                  <c:v>85.04398827</c:v>
                </c:pt>
                <c:pt idx="8">
                  <c:v>91.687041559999997</c:v>
                </c:pt>
                <c:pt idx="9">
                  <c:v>85.209981740000003</c:v>
                </c:pt>
                <c:pt idx="10">
                  <c:v>76.804915510000001</c:v>
                </c:pt>
                <c:pt idx="11">
                  <c:v>78.091106289999999</c:v>
                </c:pt>
                <c:pt idx="12">
                  <c:v>74.874010080000005</c:v>
                </c:pt>
                <c:pt idx="13">
                  <c:v>88.815789469999999</c:v>
                </c:pt>
                <c:pt idx="14">
                  <c:v>79.908675799999997</c:v>
                </c:pt>
                <c:pt idx="15">
                  <c:v>24.09638554</c:v>
                </c:pt>
                <c:pt idx="16">
                  <c:v>60.150375940000004</c:v>
                </c:pt>
                <c:pt idx="17">
                  <c:v>61.957868650000002</c:v>
                </c:pt>
                <c:pt idx="18">
                  <c:v>84.175084179999999</c:v>
                </c:pt>
                <c:pt idx="19">
                  <c:v>72.211476469999994</c:v>
                </c:pt>
                <c:pt idx="20">
                  <c:v>82.417582420000002</c:v>
                </c:pt>
                <c:pt idx="21">
                  <c:v>83.135391920000004</c:v>
                </c:pt>
                <c:pt idx="22">
                  <c:v>97.902097900000001</c:v>
                </c:pt>
                <c:pt idx="23">
                  <c:v>75.975359339999997</c:v>
                </c:pt>
                <c:pt idx="24">
                  <c:v>68.812430629999994</c:v>
                </c:pt>
                <c:pt idx="25">
                  <c:v>76.759061829999993</c:v>
                </c:pt>
                <c:pt idx="26">
                  <c:v>60.133630289999999</c:v>
                </c:pt>
                <c:pt idx="27">
                  <c:v>84.21052632</c:v>
                </c:pt>
                <c:pt idx="28">
                  <c:v>60.689655170000002</c:v>
                </c:pt>
                <c:pt idx="29">
                  <c:v>47.281323880000002</c:v>
                </c:pt>
                <c:pt idx="30">
                  <c:v>86.279209109999996</c:v>
                </c:pt>
                <c:pt idx="31">
                  <c:v>72.051133059999998</c:v>
                </c:pt>
                <c:pt idx="32">
                  <c:v>85.276482349999995</c:v>
                </c:pt>
                <c:pt idx="33">
                  <c:v>73.215375230000006</c:v>
                </c:pt>
                <c:pt idx="34">
                  <c:v>80.40739748</c:v>
                </c:pt>
                <c:pt idx="35">
                  <c:v>78.096400239999994</c:v>
                </c:pt>
                <c:pt idx="36">
                  <c:v>81.269841270000001</c:v>
                </c:pt>
                <c:pt idx="37">
                  <c:v>67.848882040000007</c:v>
                </c:pt>
                <c:pt idx="38">
                  <c:v>66.408411729999997</c:v>
                </c:pt>
                <c:pt idx="39">
                  <c:v>81.460674159999996</c:v>
                </c:pt>
                <c:pt idx="40">
                  <c:v>104.02476780000001</c:v>
                </c:pt>
                <c:pt idx="41">
                  <c:v>56.529112490000003</c:v>
                </c:pt>
                <c:pt idx="42">
                  <c:v>76.604554870000001</c:v>
                </c:pt>
                <c:pt idx="43">
                  <c:v>56.75508945</c:v>
                </c:pt>
                <c:pt idx="44">
                  <c:v>66.181336860000002</c:v>
                </c:pt>
                <c:pt idx="45">
                  <c:v>85.697741750000006</c:v>
                </c:pt>
                <c:pt idx="46">
                  <c:v>82.603254070000006</c:v>
                </c:pt>
                <c:pt idx="47">
                  <c:v>82.663605050000001</c:v>
                </c:pt>
                <c:pt idx="48">
                  <c:v>62.54442075</c:v>
                </c:pt>
                <c:pt idx="49">
                  <c:v>78.720787209999997</c:v>
                </c:pt>
                <c:pt idx="50">
                  <c:v>74.829931970000004</c:v>
                </c:pt>
                <c:pt idx="51">
                  <c:v>64.927536230000001</c:v>
                </c:pt>
                <c:pt idx="52">
                  <c:v>66.992323799999994</c:v>
                </c:pt>
                <c:pt idx="53">
                  <c:v>68.610634649999994</c:v>
                </c:pt>
                <c:pt idx="54">
                  <c:v>103.6806636</c:v>
                </c:pt>
                <c:pt idx="55">
                  <c:v>68.681318680000004</c:v>
                </c:pt>
                <c:pt idx="56">
                  <c:v>73.304825899999997</c:v>
                </c:pt>
                <c:pt idx="57">
                  <c:v>51.58264947</c:v>
                </c:pt>
                <c:pt idx="58">
                  <c:v>58.927519150000002</c:v>
                </c:pt>
                <c:pt idx="59">
                  <c:v>78.911564630000001</c:v>
                </c:pt>
                <c:pt idx="60">
                  <c:v>77.336197639999995</c:v>
                </c:pt>
                <c:pt idx="61">
                  <c:v>73.858114670000006</c:v>
                </c:pt>
                <c:pt idx="62">
                  <c:v>66.81852696</c:v>
                </c:pt>
                <c:pt idx="63">
                  <c:v>80.499653019999997</c:v>
                </c:pt>
                <c:pt idx="64">
                  <c:v>69.408740359999996</c:v>
                </c:pt>
                <c:pt idx="65">
                  <c:v>83.983203360000005</c:v>
                </c:pt>
                <c:pt idx="66">
                  <c:v>49.474335189999998</c:v>
                </c:pt>
                <c:pt idx="67">
                  <c:v>51.604782880000002</c:v>
                </c:pt>
                <c:pt idx="68">
                  <c:v>35.27525387</c:v>
                </c:pt>
                <c:pt idx="69">
                  <c:v>41.666666669999998</c:v>
                </c:pt>
                <c:pt idx="70">
                  <c:v>38.866396760000001</c:v>
                </c:pt>
                <c:pt idx="71">
                  <c:v>47.155304970000003</c:v>
                </c:pt>
                <c:pt idx="72">
                  <c:v>52.781740370000001</c:v>
                </c:pt>
                <c:pt idx="73">
                  <c:v>47.868361999999998</c:v>
                </c:pt>
                <c:pt idx="74">
                  <c:v>57.887120119999999</c:v>
                </c:pt>
                <c:pt idx="75">
                  <c:v>56.224899600000001</c:v>
                </c:pt>
                <c:pt idx="76">
                  <c:v>44.476327120000001</c:v>
                </c:pt>
                <c:pt idx="77">
                  <c:v>55.210489989999999</c:v>
                </c:pt>
                <c:pt idx="78">
                  <c:v>34.822104469999999</c:v>
                </c:pt>
                <c:pt idx="79">
                  <c:v>61.736334409999998</c:v>
                </c:pt>
                <c:pt idx="80">
                  <c:v>59.236165239999998</c:v>
                </c:pt>
                <c:pt idx="81">
                  <c:v>54.193548389999997</c:v>
                </c:pt>
                <c:pt idx="82">
                  <c:v>58.708414869999999</c:v>
                </c:pt>
                <c:pt idx="83">
                  <c:v>52.56570713</c:v>
                </c:pt>
                <c:pt idx="84">
                  <c:v>44.382801659999998</c:v>
                </c:pt>
                <c:pt idx="85">
                  <c:v>46.260601389999998</c:v>
                </c:pt>
                <c:pt idx="86">
                  <c:v>54.945054949999999</c:v>
                </c:pt>
                <c:pt idx="87">
                  <c:v>57.239057240000001</c:v>
                </c:pt>
                <c:pt idx="88">
                  <c:v>51.359516620000001</c:v>
                </c:pt>
                <c:pt idx="89">
                  <c:v>56.695992179999998</c:v>
                </c:pt>
                <c:pt idx="90">
                  <c:v>58.189655170000002</c:v>
                </c:pt>
                <c:pt idx="91">
                  <c:v>58.769513310000001</c:v>
                </c:pt>
                <c:pt idx="92">
                  <c:v>50.083472450000002</c:v>
                </c:pt>
                <c:pt idx="93">
                  <c:v>49.382716049999999</c:v>
                </c:pt>
                <c:pt idx="94">
                  <c:v>57.18954248</c:v>
                </c:pt>
                <c:pt idx="95">
                  <c:v>36.339165549999997</c:v>
                </c:pt>
                <c:pt idx="96">
                  <c:v>63.814358230000003</c:v>
                </c:pt>
                <c:pt idx="97">
                  <c:v>42.41948154</c:v>
                </c:pt>
                <c:pt idx="98">
                  <c:v>65.420560750000007</c:v>
                </c:pt>
                <c:pt idx="99">
                  <c:v>53.264604810000002</c:v>
                </c:pt>
                <c:pt idx="100">
                  <c:v>42.490842489999999</c:v>
                </c:pt>
                <c:pt idx="101">
                  <c:v>45.454545449999998</c:v>
                </c:pt>
                <c:pt idx="102">
                  <c:v>67.632850239999996</c:v>
                </c:pt>
                <c:pt idx="103">
                  <c:v>56.962025320000002</c:v>
                </c:pt>
                <c:pt idx="104">
                  <c:v>49.34464148</c:v>
                </c:pt>
                <c:pt idx="105">
                  <c:v>45.454545449999998</c:v>
                </c:pt>
                <c:pt idx="106">
                  <c:v>46.890927619999999</c:v>
                </c:pt>
                <c:pt idx="107">
                  <c:v>61.208875290000002</c:v>
                </c:pt>
              </c:numCache>
            </c:numRef>
          </c:xVal>
          <c:yVal>
            <c:numRef>
              <c:f>'SHSPU VS %SP'!$C$2:$C$109</c:f>
              <c:numCache>
                <c:formatCode>General</c:formatCode>
                <c:ptCount val="108"/>
                <c:pt idx="0">
                  <c:v>8</c:v>
                </c:pt>
                <c:pt idx="1">
                  <c:v>12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14</c:v>
                </c:pt>
                <c:pt idx="6">
                  <c:v>1</c:v>
                </c:pt>
                <c:pt idx="7">
                  <c:v>9</c:v>
                </c:pt>
                <c:pt idx="8">
                  <c:v>20</c:v>
                </c:pt>
                <c:pt idx="9">
                  <c:v>15</c:v>
                </c:pt>
                <c:pt idx="10">
                  <c:v>10</c:v>
                </c:pt>
                <c:pt idx="11">
                  <c:v>12</c:v>
                </c:pt>
                <c:pt idx="12">
                  <c:v>10</c:v>
                </c:pt>
                <c:pt idx="13">
                  <c:v>19</c:v>
                </c:pt>
                <c:pt idx="14">
                  <c:v>5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11</c:v>
                </c:pt>
                <c:pt idx="19">
                  <c:v>6</c:v>
                </c:pt>
                <c:pt idx="20">
                  <c:v>10</c:v>
                </c:pt>
                <c:pt idx="21">
                  <c:v>8</c:v>
                </c:pt>
                <c:pt idx="22">
                  <c:v>17</c:v>
                </c:pt>
                <c:pt idx="23">
                  <c:v>2</c:v>
                </c:pt>
                <c:pt idx="24">
                  <c:v>11</c:v>
                </c:pt>
                <c:pt idx="25">
                  <c:v>3</c:v>
                </c:pt>
                <c:pt idx="26">
                  <c:v>0</c:v>
                </c:pt>
                <c:pt idx="27">
                  <c:v>22</c:v>
                </c:pt>
                <c:pt idx="28">
                  <c:v>0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13</c:v>
                </c:pt>
                <c:pt idx="33">
                  <c:v>12</c:v>
                </c:pt>
                <c:pt idx="34">
                  <c:v>11</c:v>
                </c:pt>
                <c:pt idx="35">
                  <c:v>7</c:v>
                </c:pt>
                <c:pt idx="36">
                  <c:v>7</c:v>
                </c:pt>
                <c:pt idx="37">
                  <c:v>5</c:v>
                </c:pt>
                <c:pt idx="38">
                  <c:v>2</c:v>
                </c:pt>
                <c:pt idx="39">
                  <c:v>11</c:v>
                </c:pt>
                <c:pt idx="40">
                  <c:v>18</c:v>
                </c:pt>
                <c:pt idx="41">
                  <c:v>0</c:v>
                </c:pt>
                <c:pt idx="42">
                  <c:v>7</c:v>
                </c:pt>
                <c:pt idx="43">
                  <c:v>0</c:v>
                </c:pt>
                <c:pt idx="44">
                  <c:v>0</c:v>
                </c:pt>
                <c:pt idx="45">
                  <c:v>25</c:v>
                </c:pt>
                <c:pt idx="46">
                  <c:v>20</c:v>
                </c:pt>
                <c:pt idx="47">
                  <c:v>10</c:v>
                </c:pt>
                <c:pt idx="48">
                  <c:v>1</c:v>
                </c:pt>
                <c:pt idx="49">
                  <c:v>17</c:v>
                </c:pt>
                <c:pt idx="50">
                  <c:v>10</c:v>
                </c:pt>
                <c:pt idx="51">
                  <c:v>1</c:v>
                </c:pt>
                <c:pt idx="52">
                  <c:v>7</c:v>
                </c:pt>
                <c:pt idx="53">
                  <c:v>5</c:v>
                </c:pt>
                <c:pt idx="54">
                  <c:v>24</c:v>
                </c:pt>
                <c:pt idx="55">
                  <c:v>3</c:v>
                </c:pt>
                <c:pt idx="56">
                  <c:v>9</c:v>
                </c:pt>
                <c:pt idx="57">
                  <c:v>0</c:v>
                </c:pt>
                <c:pt idx="58">
                  <c:v>0</c:v>
                </c:pt>
                <c:pt idx="59">
                  <c:v>4</c:v>
                </c:pt>
                <c:pt idx="60">
                  <c:v>10</c:v>
                </c:pt>
                <c:pt idx="61">
                  <c:v>5</c:v>
                </c:pt>
                <c:pt idx="62">
                  <c:v>3</c:v>
                </c:pt>
                <c:pt idx="63">
                  <c:v>7</c:v>
                </c:pt>
                <c:pt idx="64">
                  <c:v>9</c:v>
                </c:pt>
                <c:pt idx="65">
                  <c:v>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9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0D-402A-8010-9DE290B74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315559"/>
        <c:axId val="729542702"/>
      </c:scatterChart>
      <c:valAx>
        <c:axId val="15043155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>
                    <a:solidFill>
                      <a:srgbClr val="000000"/>
                    </a:solidFill>
                    <a:latin typeface="+mn-lt"/>
                  </a:rPr>
                  <a:t>FORÇA MÁXIMA NO SHOULDER PRESS RELATIVO A MASSA CORPORAL (%SP)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29542702"/>
        <c:crosses val="autoZero"/>
        <c:crossBetween val="midCat"/>
      </c:valAx>
      <c:valAx>
        <c:axId val="729542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>
                    <a:solidFill>
                      <a:srgbClr val="000000"/>
                    </a:solidFill>
                    <a:latin typeface="+mn-lt"/>
                  </a:rPr>
                  <a:t>REPETIÇÕES MÁXIMAS DE SHSPU EM 1’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043155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1514475</xdr:colOff>
      <xdr:row>4</xdr:row>
      <xdr:rowOff>38100</xdr:rowOff>
    </xdr:from>
    <xdr:ext cx="3876675" cy="24193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819150</xdr:colOff>
      <xdr:row>4</xdr:row>
      <xdr:rowOff>38100</xdr:rowOff>
    </xdr:from>
    <xdr:ext cx="3876675" cy="241935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18</xdr:row>
      <xdr:rowOff>123825</xdr:rowOff>
    </xdr:from>
    <xdr:ext cx="8286750" cy="510540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txPXbNB5lp55t7jPy3Z4mVkSTpe9NKP6" TargetMode="External"/><Relationship Id="rId18" Type="http://schemas.openxmlformats.org/officeDocument/2006/relationships/hyperlink" Target="https://drive.google.com/open?id=17zlfX_4Mj8Fh6zLpZEiWfBnZddtDPP3E" TargetMode="External"/><Relationship Id="rId26" Type="http://schemas.openxmlformats.org/officeDocument/2006/relationships/hyperlink" Target="https://drive.google.com/open?id=1NmT9B1TC2xiSmRkXYF4-kb1pUpHJ5L9S" TargetMode="External"/><Relationship Id="rId39" Type="http://schemas.openxmlformats.org/officeDocument/2006/relationships/hyperlink" Target="https://drive.google.com/open?id=185h4gK7Kwx9czy_2wRm_9Z1g8bY8kndH" TargetMode="External"/><Relationship Id="rId21" Type="http://schemas.openxmlformats.org/officeDocument/2006/relationships/hyperlink" Target="https://drive.google.com/open?id=1eT_nJo901X9ehWktSDejyX92F0A6P1nN" TargetMode="External"/><Relationship Id="rId34" Type="http://schemas.openxmlformats.org/officeDocument/2006/relationships/hyperlink" Target="https://drive.google.com/open?id=1ber0V-AFs7mGofWWBOjda_-xmfoOMbDZ" TargetMode="External"/><Relationship Id="rId42" Type="http://schemas.openxmlformats.org/officeDocument/2006/relationships/hyperlink" Target="https://drive.google.com/open?id=1wFmwTarUfsG7ezbG4b_mdtTXDvIWkiLC" TargetMode="External"/><Relationship Id="rId47" Type="http://schemas.openxmlformats.org/officeDocument/2006/relationships/hyperlink" Target="https://drive.google.com/open?id=11P4gTWxnkLiyqKe6kMQ41kU5NGLnZKzo" TargetMode="External"/><Relationship Id="rId50" Type="http://schemas.openxmlformats.org/officeDocument/2006/relationships/hyperlink" Target="https://drive.google.com/open?id=1IpkUlVCKdxQIqgaonxMrDahzplkf1NpW" TargetMode="External"/><Relationship Id="rId55" Type="http://schemas.openxmlformats.org/officeDocument/2006/relationships/hyperlink" Target="https://drive.google.com/open?id=1ydP6mnDJRmtqCYAo40ado53BCvAV601l" TargetMode="External"/><Relationship Id="rId7" Type="http://schemas.openxmlformats.org/officeDocument/2006/relationships/hyperlink" Target="https://drive.google.com/open?id=1dIKfFgIoZAId2Ape8Zfvo792IIrBTroX" TargetMode="External"/><Relationship Id="rId2" Type="http://schemas.openxmlformats.org/officeDocument/2006/relationships/hyperlink" Target="https://drive.google.com/open?id=1KD818QiVfuolPLrSHoybEKv0BC4SO7AA" TargetMode="External"/><Relationship Id="rId16" Type="http://schemas.openxmlformats.org/officeDocument/2006/relationships/hyperlink" Target="https://drive.google.com/open?id=10NcaEZIf50bNA9I_5gv9OiQBFSDSWfiX" TargetMode="External"/><Relationship Id="rId29" Type="http://schemas.openxmlformats.org/officeDocument/2006/relationships/hyperlink" Target="https://drive.google.com/open?id=1UGcjGZwL507VRe6suGbt4eLklXTcr9--" TargetMode="External"/><Relationship Id="rId11" Type="http://schemas.openxmlformats.org/officeDocument/2006/relationships/hyperlink" Target="https://drive.google.com/open?id=1GaildVjlpLF0whSXQARofO0VBv6Y7dTP" TargetMode="External"/><Relationship Id="rId24" Type="http://schemas.openxmlformats.org/officeDocument/2006/relationships/hyperlink" Target="https://drive.google.com/open?id=1-ylrh9wLf7haW0HUp93IaiS9IhBzjzz5" TargetMode="External"/><Relationship Id="rId32" Type="http://schemas.openxmlformats.org/officeDocument/2006/relationships/hyperlink" Target="https://drive.google.com/open?id=1onzFCZD8IsR2KsUWXZMFoRZg4jiSqtje" TargetMode="External"/><Relationship Id="rId37" Type="http://schemas.openxmlformats.org/officeDocument/2006/relationships/hyperlink" Target="https://drive.google.com/open?id=1mhpoeWBsBAMPYwu55rdSOrP9i5E3f1aU" TargetMode="External"/><Relationship Id="rId40" Type="http://schemas.openxmlformats.org/officeDocument/2006/relationships/hyperlink" Target="https://drive.google.com/open?id=1eH9fz6KcfYmtS27ORZdSzkZ2NJRx6OeU" TargetMode="External"/><Relationship Id="rId45" Type="http://schemas.openxmlformats.org/officeDocument/2006/relationships/hyperlink" Target="https://drive.google.com/open?id=1mkfh0FgaQfzuYOCGKy6KjgvqAYEb-NcK" TargetMode="External"/><Relationship Id="rId53" Type="http://schemas.openxmlformats.org/officeDocument/2006/relationships/hyperlink" Target="https://drive.google.com/open?id=1kf7_RSWWlIDoDog6yOAmnmtR7zVpaBec" TargetMode="External"/><Relationship Id="rId5" Type="http://schemas.openxmlformats.org/officeDocument/2006/relationships/hyperlink" Target="https://drive.google.com/open?id=1H5sCd4Uu4DLCsDIItTXSuTMTQV2mM9xa" TargetMode="External"/><Relationship Id="rId19" Type="http://schemas.openxmlformats.org/officeDocument/2006/relationships/hyperlink" Target="https://drive.google.com/open?id=1U5z2E3G04NJXmLS4nBrPVXd8Ns1k5EYm" TargetMode="External"/><Relationship Id="rId4" Type="http://schemas.openxmlformats.org/officeDocument/2006/relationships/hyperlink" Target="https://drive.google.com/open?id=1iPOdSyBqpfpZ7C1l7RgJCB2qLU_xqo9w" TargetMode="External"/><Relationship Id="rId9" Type="http://schemas.openxmlformats.org/officeDocument/2006/relationships/hyperlink" Target="https://drive.google.com/open?id=1IidYo8X0Jj2zs0reJz-IKNEBIA6sxE1D" TargetMode="External"/><Relationship Id="rId14" Type="http://schemas.openxmlformats.org/officeDocument/2006/relationships/hyperlink" Target="https://drive.google.com/open?id=1yuwMJghxEp8UpncTR-hB3MO86DnfJbwc" TargetMode="External"/><Relationship Id="rId22" Type="http://schemas.openxmlformats.org/officeDocument/2006/relationships/hyperlink" Target="https://drive.google.com/open?id=1SV-M5crWzkXh_9xgdESI9x5-abmvIfka" TargetMode="External"/><Relationship Id="rId27" Type="http://schemas.openxmlformats.org/officeDocument/2006/relationships/hyperlink" Target="https://drive.google.com/open?id=1gS0hiCvNfgUYCbr_NDoJz8NBk-uM9gik" TargetMode="External"/><Relationship Id="rId30" Type="http://schemas.openxmlformats.org/officeDocument/2006/relationships/hyperlink" Target="https://drive.google.com/open?id=1NTtTHuF_5E3sYK94mnOKbWfv_o7FYpQL" TargetMode="External"/><Relationship Id="rId35" Type="http://schemas.openxmlformats.org/officeDocument/2006/relationships/hyperlink" Target="https://drive.google.com/open?id=1GcgxWxr1dPyPfL7WhZID8_Ka1HJOh73R" TargetMode="External"/><Relationship Id="rId43" Type="http://schemas.openxmlformats.org/officeDocument/2006/relationships/hyperlink" Target="https://drive.google.com/open?id=1iZ16PDtI30xbJY4BnPg0McJr4K_34-wT" TargetMode="External"/><Relationship Id="rId48" Type="http://schemas.openxmlformats.org/officeDocument/2006/relationships/hyperlink" Target="https://drive.google.com/open?id=1LFYSLsyfnzj3Wj0dOOuSxJLpFHFeultg" TargetMode="External"/><Relationship Id="rId56" Type="http://schemas.openxmlformats.org/officeDocument/2006/relationships/vmlDrawing" Target="../drawings/vmlDrawing2.vml"/><Relationship Id="rId8" Type="http://schemas.openxmlformats.org/officeDocument/2006/relationships/hyperlink" Target="https://drive.google.com/open?id=14iYSsxlPt78j6A7xmFXCV02atpzhTvB7" TargetMode="External"/><Relationship Id="rId51" Type="http://schemas.openxmlformats.org/officeDocument/2006/relationships/hyperlink" Target="https://drive.google.com/open?id=1lbO9jgQhCfwutB04CwB2kp2ktoSij8s1" TargetMode="External"/><Relationship Id="rId3" Type="http://schemas.openxmlformats.org/officeDocument/2006/relationships/hyperlink" Target="https://drive.google.com/open?id=1WsgT2JcqYPzckTCll6PKgWb5BJi23SoF" TargetMode="External"/><Relationship Id="rId12" Type="http://schemas.openxmlformats.org/officeDocument/2006/relationships/hyperlink" Target="https://drive.google.com/open?id=1aF1MCVPT5-aRqtJcTzPWek8OJ4j4-kSy" TargetMode="External"/><Relationship Id="rId17" Type="http://schemas.openxmlformats.org/officeDocument/2006/relationships/hyperlink" Target="https://drive.google.com/open?id=1R09BXm3_QjeoBtB73lnVykhQCD7daOJq" TargetMode="External"/><Relationship Id="rId25" Type="http://schemas.openxmlformats.org/officeDocument/2006/relationships/hyperlink" Target="https://drive.google.com/open?id=1-rFxEkAnrMqE7Ni3rbEl9CUPv_7Xiqse" TargetMode="External"/><Relationship Id="rId33" Type="http://schemas.openxmlformats.org/officeDocument/2006/relationships/hyperlink" Target="https://drive.google.com/open?id=1WNQwXlBitZJZhCUZ3x8UR4i6WA4zqkDd" TargetMode="External"/><Relationship Id="rId38" Type="http://schemas.openxmlformats.org/officeDocument/2006/relationships/hyperlink" Target="https://drive.google.com/open?id=1w_BtCn52k_uET858qZBORdJLRew93W9d" TargetMode="External"/><Relationship Id="rId46" Type="http://schemas.openxmlformats.org/officeDocument/2006/relationships/hyperlink" Target="https://drive.google.com/open?id=1dvo_OYN4921buVahJOYydYaCWMGpU77w" TargetMode="External"/><Relationship Id="rId20" Type="http://schemas.openxmlformats.org/officeDocument/2006/relationships/hyperlink" Target="https://drive.google.com/open?id=1scsa-9askLY8RQ4yFGTgz8OJDq4Op6O9" TargetMode="External"/><Relationship Id="rId41" Type="http://schemas.openxmlformats.org/officeDocument/2006/relationships/hyperlink" Target="https://drive.google.com/open?id=1R2o7bLPmLSsSn2fw-qpIHF3v5032ZKh8" TargetMode="External"/><Relationship Id="rId54" Type="http://schemas.openxmlformats.org/officeDocument/2006/relationships/hyperlink" Target="https://drive.google.com/open?id=1upMtbvi34OyVeOD6YCV3JamqHeTLm9uA" TargetMode="External"/><Relationship Id="rId1" Type="http://schemas.openxmlformats.org/officeDocument/2006/relationships/hyperlink" Target="https://drive.google.com/open?id=1Jd6F2dHs5imX7gr6EbnaFovX-pV-x3zs" TargetMode="External"/><Relationship Id="rId6" Type="http://schemas.openxmlformats.org/officeDocument/2006/relationships/hyperlink" Target="https://drive.google.com/open?id=16bay6by2kRsdScVd7ckCM2OwS86gUa1x" TargetMode="External"/><Relationship Id="rId15" Type="http://schemas.openxmlformats.org/officeDocument/2006/relationships/hyperlink" Target="https://drive.google.com/open?id=1buBs22RRzVn3OF2So7qIoFhl6ZJ30Wsc" TargetMode="External"/><Relationship Id="rId23" Type="http://schemas.openxmlformats.org/officeDocument/2006/relationships/hyperlink" Target="https://drive.google.com/open?id=11RW4f6Yn2XTyh0rp7Jd9l1Qsgz6aX2d4" TargetMode="External"/><Relationship Id="rId28" Type="http://schemas.openxmlformats.org/officeDocument/2006/relationships/hyperlink" Target="https://drive.google.com/open?id=1yHPmpPmBA98SPM3LG7OPFiGse9nv6Cfm" TargetMode="External"/><Relationship Id="rId36" Type="http://schemas.openxmlformats.org/officeDocument/2006/relationships/hyperlink" Target="https://drive.google.com/open?id=1kknx3zUH_HPj3sHup9MPDV0GEkuY8B0a" TargetMode="External"/><Relationship Id="rId49" Type="http://schemas.openxmlformats.org/officeDocument/2006/relationships/hyperlink" Target="https://drive.google.com/open?id=1jaNEWUZ0Ey3IZ5YGi-r_z58k0SAgLYwh" TargetMode="External"/><Relationship Id="rId57" Type="http://schemas.openxmlformats.org/officeDocument/2006/relationships/comments" Target="../comments2.xml"/><Relationship Id="rId10" Type="http://schemas.openxmlformats.org/officeDocument/2006/relationships/hyperlink" Target="https://drive.google.com/open?id=15BudcvS2hagE1Z1PdBTU6-pv6DctwYYf" TargetMode="External"/><Relationship Id="rId31" Type="http://schemas.openxmlformats.org/officeDocument/2006/relationships/hyperlink" Target="https://drive.google.com/open?id=1K3jD5ZvYzqErpfDSNFJQhsjVHpRIv285" TargetMode="External"/><Relationship Id="rId44" Type="http://schemas.openxmlformats.org/officeDocument/2006/relationships/hyperlink" Target="https://drive.google.com/open?id=1snA2a_IshveNXnGZernAFfYLpGYft2tP" TargetMode="External"/><Relationship Id="rId52" Type="http://schemas.openxmlformats.org/officeDocument/2006/relationships/hyperlink" Target="https://drive.google.com/open?id=1n_n3zbrzm7Np1RuiOh61RAiZTlYNjRG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80" workbookViewId="0">
      <selection activeCell="K98" sqref="K98"/>
    </sheetView>
  </sheetViews>
  <sheetFormatPr defaultColWidth="12.5703125" defaultRowHeight="12.75" x14ac:dyDescent="0.2"/>
  <cols>
    <col min="1" max="1" width="35.28515625" bestFit="1" customWidth="1"/>
    <col min="2" max="2" width="4.85546875" customWidth="1"/>
    <col min="3" max="3" width="8.42578125" customWidth="1"/>
    <col min="4" max="4" width="11.28515625" customWidth="1"/>
  </cols>
  <sheetData>
    <row r="1" spans="1:8" s="26" customFormat="1" ht="15.75" x14ac:dyDescent="0.25">
      <c r="A1" s="25" t="s">
        <v>1</v>
      </c>
      <c r="B1" s="25" t="s">
        <v>2</v>
      </c>
      <c r="C1" s="25" t="s">
        <v>3</v>
      </c>
      <c r="D1" s="25" t="s">
        <v>5</v>
      </c>
      <c r="E1" s="25" t="s">
        <v>8</v>
      </c>
      <c r="F1" s="25" t="s">
        <v>9</v>
      </c>
      <c r="G1" s="25" t="s">
        <v>596</v>
      </c>
      <c r="H1" s="25"/>
    </row>
    <row r="2" spans="1:8" x14ac:dyDescent="0.2">
      <c r="A2" s="2" t="s">
        <v>31</v>
      </c>
      <c r="B2" s="2">
        <v>49</v>
      </c>
      <c r="C2" s="2">
        <v>2</v>
      </c>
      <c r="D2" s="2">
        <v>0</v>
      </c>
      <c r="E2" s="2">
        <v>49.474335189999998</v>
      </c>
      <c r="F2" s="2">
        <v>6</v>
      </c>
      <c r="G2" s="2">
        <v>4</v>
      </c>
      <c r="H2" s="36"/>
    </row>
    <row r="3" spans="1:8" x14ac:dyDescent="0.2">
      <c r="A3" s="2" t="s">
        <v>42</v>
      </c>
      <c r="B3" s="2">
        <v>43</v>
      </c>
      <c r="C3" s="2">
        <v>2</v>
      </c>
      <c r="D3" s="2">
        <v>0</v>
      </c>
      <c r="E3" s="2">
        <v>51.604782880000002</v>
      </c>
      <c r="F3" s="2">
        <v>6</v>
      </c>
      <c r="G3" s="2">
        <v>5</v>
      </c>
      <c r="H3" s="36"/>
    </row>
    <row r="4" spans="1:8" x14ac:dyDescent="0.2">
      <c r="A4" s="2" t="s">
        <v>48</v>
      </c>
      <c r="B4" s="2">
        <v>31</v>
      </c>
      <c r="C4" s="2">
        <v>2</v>
      </c>
      <c r="D4" s="2">
        <v>0</v>
      </c>
      <c r="E4" s="2">
        <v>35.27525387</v>
      </c>
      <c r="F4" s="2">
        <v>2</v>
      </c>
      <c r="G4" s="2">
        <v>5</v>
      </c>
      <c r="H4" s="36"/>
    </row>
    <row r="5" spans="1:8" x14ac:dyDescent="0.2">
      <c r="A5" s="2" t="s">
        <v>53</v>
      </c>
      <c r="B5" s="2">
        <v>26</v>
      </c>
      <c r="C5" s="2">
        <v>1</v>
      </c>
      <c r="D5" s="2">
        <v>8</v>
      </c>
      <c r="E5" s="2">
        <v>80.106809080000005</v>
      </c>
      <c r="F5" s="2">
        <v>1</v>
      </c>
      <c r="G5" s="2">
        <v>4</v>
      </c>
      <c r="H5" s="36"/>
    </row>
    <row r="6" spans="1:8" x14ac:dyDescent="0.2">
      <c r="A6" s="2" t="s">
        <v>62</v>
      </c>
      <c r="B6" s="2">
        <v>35</v>
      </c>
      <c r="C6" s="2">
        <v>1</v>
      </c>
      <c r="D6" s="2">
        <v>12</v>
      </c>
      <c r="E6" s="2">
        <v>76.50273224</v>
      </c>
      <c r="F6" s="2">
        <v>5</v>
      </c>
      <c r="G6" s="2">
        <v>5</v>
      </c>
      <c r="H6" s="36"/>
    </row>
    <row r="7" spans="1:8" x14ac:dyDescent="0.2">
      <c r="A7" s="2" t="s">
        <v>68</v>
      </c>
      <c r="B7" s="2">
        <v>40</v>
      </c>
      <c r="C7" s="2">
        <v>1</v>
      </c>
      <c r="D7" s="2">
        <v>0</v>
      </c>
      <c r="E7" s="2">
        <v>42.0131291</v>
      </c>
      <c r="F7" s="2">
        <v>1</v>
      </c>
      <c r="G7" s="2">
        <v>3</v>
      </c>
      <c r="H7" s="36"/>
    </row>
    <row r="8" spans="1:8" x14ac:dyDescent="0.2">
      <c r="A8" s="2" t="s">
        <v>75</v>
      </c>
      <c r="B8" s="2">
        <v>28</v>
      </c>
      <c r="C8" s="2">
        <v>2</v>
      </c>
      <c r="D8" s="2">
        <v>0</v>
      </c>
      <c r="E8" s="2">
        <v>41.666666669999998</v>
      </c>
      <c r="F8" s="2">
        <v>1</v>
      </c>
      <c r="G8" s="2">
        <v>3</v>
      </c>
      <c r="H8" s="36"/>
    </row>
    <row r="9" spans="1:8" x14ac:dyDescent="0.2">
      <c r="A9" s="2" t="s">
        <v>80</v>
      </c>
      <c r="B9" s="2">
        <v>28</v>
      </c>
      <c r="C9" s="2">
        <v>1</v>
      </c>
      <c r="D9" s="2">
        <v>4</v>
      </c>
      <c r="E9" s="2">
        <v>66.257668710000004</v>
      </c>
      <c r="F9" s="2">
        <v>6</v>
      </c>
      <c r="G9" s="2">
        <v>6</v>
      </c>
      <c r="H9" s="36"/>
    </row>
    <row r="10" spans="1:8" x14ac:dyDescent="0.2">
      <c r="A10" s="2" t="s">
        <v>85</v>
      </c>
      <c r="B10" s="2">
        <v>35</v>
      </c>
      <c r="C10" s="2">
        <v>1</v>
      </c>
      <c r="D10" s="2">
        <v>6</v>
      </c>
      <c r="E10" s="2">
        <v>90.261282660000006</v>
      </c>
      <c r="F10" s="2">
        <v>2</v>
      </c>
      <c r="G10" s="2">
        <v>4</v>
      </c>
      <c r="H10" s="36"/>
    </row>
    <row r="11" spans="1:8" x14ac:dyDescent="0.2">
      <c r="A11" s="2" t="s">
        <v>89</v>
      </c>
      <c r="B11" s="2">
        <v>33</v>
      </c>
      <c r="C11" s="2">
        <v>1</v>
      </c>
      <c r="D11" s="2">
        <v>14</v>
      </c>
      <c r="E11" s="2">
        <v>80.106809080000005</v>
      </c>
      <c r="F11" s="2">
        <v>2</v>
      </c>
      <c r="G11" s="2">
        <v>3</v>
      </c>
      <c r="H11" s="36"/>
    </row>
    <row r="12" spans="1:8" x14ac:dyDescent="0.2">
      <c r="A12" s="2" t="s">
        <v>94</v>
      </c>
      <c r="B12" s="2">
        <v>23</v>
      </c>
      <c r="C12" s="2">
        <v>2</v>
      </c>
      <c r="D12" s="2">
        <v>0</v>
      </c>
      <c r="E12" s="2">
        <v>38.866396760000001</v>
      </c>
      <c r="F12" s="2">
        <v>3</v>
      </c>
      <c r="G12" s="2">
        <v>3</v>
      </c>
      <c r="H12" s="36"/>
    </row>
    <row r="13" spans="1:8" x14ac:dyDescent="0.2">
      <c r="A13" s="2" t="s">
        <v>97</v>
      </c>
      <c r="B13" s="2">
        <v>35</v>
      </c>
      <c r="C13" s="2">
        <v>2</v>
      </c>
      <c r="D13" s="2">
        <v>0</v>
      </c>
      <c r="E13" s="2">
        <v>47.155304970000003</v>
      </c>
      <c r="F13" s="2">
        <v>2</v>
      </c>
      <c r="G13" s="2">
        <v>5</v>
      </c>
      <c r="H13" s="36"/>
    </row>
    <row r="14" spans="1:8" x14ac:dyDescent="0.2">
      <c r="A14" s="2" t="s">
        <v>103</v>
      </c>
      <c r="B14" s="2">
        <v>31</v>
      </c>
      <c r="C14" s="2">
        <v>1</v>
      </c>
      <c r="D14" s="2">
        <v>1</v>
      </c>
      <c r="E14" s="2">
        <v>59.469941820000003</v>
      </c>
      <c r="F14" s="2">
        <v>5</v>
      </c>
      <c r="G14" s="2">
        <v>4</v>
      </c>
      <c r="H14" s="36"/>
    </row>
    <row r="15" spans="1:8" x14ac:dyDescent="0.2">
      <c r="A15" s="2" t="s">
        <v>108</v>
      </c>
      <c r="B15" s="2">
        <v>37</v>
      </c>
      <c r="C15" s="2">
        <v>2</v>
      </c>
      <c r="D15" s="2">
        <v>0</v>
      </c>
      <c r="E15" s="2">
        <v>52.781740370000001</v>
      </c>
      <c r="F15" s="2">
        <v>2</v>
      </c>
      <c r="G15" s="2">
        <v>3</v>
      </c>
      <c r="H15" s="36"/>
    </row>
    <row r="16" spans="1:8" x14ac:dyDescent="0.2">
      <c r="A16" s="2" t="s">
        <v>112</v>
      </c>
      <c r="B16" s="2">
        <v>33</v>
      </c>
      <c r="C16" s="2">
        <v>2</v>
      </c>
      <c r="D16" s="2">
        <v>0</v>
      </c>
      <c r="E16" s="2">
        <v>47.868361999999998</v>
      </c>
      <c r="F16" s="2">
        <v>1</v>
      </c>
      <c r="G16" s="2">
        <v>2</v>
      </c>
      <c r="H16" s="36"/>
    </row>
    <row r="17" spans="1:8" x14ac:dyDescent="0.2">
      <c r="A17" s="2" t="s">
        <v>117</v>
      </c>
      <c r="B17" s="2">
        <v>39</v>
      </c>
      <c r="C17" s="2">
        <v>1</v>
      </c>
      <c r="D17" s="2">
        <v>9</v>
      </c>
      <c r="E17" s="2">
        <v>85.04398827</v>
      </c>
      <c r="F17" s="2">
        <v>3</v>
      </c>
      <c r="G17" s="2">
        <v>5</v>
      </c>
      <c r="H17" s="36"/>
    </row>
    <row r="18" spans="1:8" x14ac:dyDescent="0.2">
      <c r="A18" s="2" t="s">
        <v>122</v>
      </c>
      <c r="B18" s="2">
        <v>28</v>
      </c>
      <c r="C18" s="2">
        <v>1</v>
      </c>
      <c r="D18" s="2">
        <v>20</v>
      </c>
      <c r="E18" s="2">
        <v>91.687041559999997</v>
      </c>
      <c r="F18" s="2">
        <v>4</v>
      </c>
      <c r="G18" s="2">
        <v>6</v>
      </c>
      <c r="H18" s="36"/>
    </row>
    <row r="19" spans="1:8" x14ac:dyDescent="0.2">
      <c r="A19" s="2" t="s">
        <v>127</v>
      </c>
      <c r="B19" s="2">
        <v>38</v>
      </c>
      <c r="C19" s="2">
        <v>2</v>
      </c>
      <c r="D19" s="2">
        <v>8</v>
      </c>
      <c r="E19" s="2">
        <v>57.887120119999999</v>
      </c>
      <c r="F19" s="2">
        <v>2</v>
      </c>
      <c r="G19" s="2">
        <v>4</v>
      </c>
      <c r="H19" s="36"/>
    </row>
    <row r="20" spans="1:8" x14ac:dyDescent="0.2">
      <c r="A20" s="2" t="s">
        <v>134</v>
      </c>
      <c r="B20" s="2">
        <v>45</v>
      </c>
      <c r="C20" s="2">
        <v>1</v>
      </c>
      <c r="D20" s="2">
        <v>15</v>
      </c>
      <c r="E20" s="2">
        <v>85.209981740000003</v>
      </c>
      <c r="F20" s="2">
        <v>4</v>
      </c>
      <c r="G20" s="2">
        <v>5</v>
      </c>
      <c r="H20" s="36"/>
    </row>
    <row r="21" spans="1:8" x14ac:dyDescent="0.2">
      <c r="A21" s="2" t="s">
        <v>139</v>
      </c>
      <c r="B21" s="2">
        <v>43</v>
      </c>
      <c r="C21" s="2">
        <v>2</v>
      </c>
      <c r="D21" s="2">
        <v>0</v>
      </c>
      <c r="E21" s="2">
        <v>56.224899600000001</v>
      </c>
      <c r="F21" s="2">
        <v>4</v>
      </c>
      <c r="G21" s="2">
        <v>5</v>
      </c>
      <c r="H21" s="36"/>
    </row>
    <row r="22" spans="1:8" x14ac:dyDescent="0.2">
      <c r="A22" s="2" t="s">
        <v>144</v>
      </c>
      <c r="B22" s="2">
        <v>37</v>
      </c>
      <c r="C22" s="2">
        <v>1</v>
      </c>
      <c r="D22" s="2">
        <v>10</v>
      </c>
      <c r="E22" s="2">
        <v>76.804915510000001</v>
      </c>
      <c r="F22" s="2">
        <v>5</v>
      </c>
      <c r="G22" s="2">
        <v>5</v>
      </c>
      <c r="H22" s="36"/>
    </row>
    <row r="23" spans="1:8" x14ac:dyDescent="0.2">
      <c r="A23" s="2" t="s">
        <v>148</v>
      </c>
      <c r="B23" s="2">
        <v>26</v>
      </c>
      <c r="C23" s="2">
        <v>1</v>
      </c>
      <c r="D23" s="2">
        <v>12</v>
      </c>
      <c r="E23" s="2">
        <v>78.091106289999999</v>
      </c>
      <c r="F23" s="2">
        <v>4</v>
      </c>
      <c r="G23" s="2">
        <v>0</v>
      </c>
      <c r="H23" s="36"/>
    </row>
    <row r="24" spans="1:8" ht="18.75" customHeight="1" x14ac:dyDescent="0.2">
      <c r="A24" s="2" t="s">
        <v>155</v>
      </c>
      <c r="B24" s="2">
        <v>39</v>
      </c>
      <c r="C24" s="2">
        <v>1</v>
      </c>
      <c r="D24" s="2">
        <v>10</v>
      </c>
      <c r="E24" s="2">
        <v>74.874010080000005</v>
      </c>
      <c r="F24" s="2">
        <v>4</v>
      </c>
      <c r="G24" s="2">
        <v>5</v>
      </c>
      <c r="H24" s="36"/>
    </row>
    <row r="25" spans="1:8" x14ac:dyDescent="0.2">
      <c r="A25" s="2" t="s">
        <v>160</v>
      </c>
      <c r="B25" s="2">
        <v>21</v>
      </c>
      <c r="C25" s="2">
        <v>1</v>
      </c>
      <c r="D25" s="2">
        <v>19</v>
      </c>
      <c r="E25" s="2">
        <v>88.815789469999999</v>
      </c>
      <c r="F25" s="2">
        <v>7</v>
      </c>
      <c r="G25" s="2">
        <v>11.5</v>
      </c>
      <c r="H25" s="36"/>
    </row>
    <row r="26" spans="1:8" x14ac:dyDescent="0.2">
      <c r="A26" s="2" t="s">
        <v>166</v>
      </c>
      <c r="B26" s="2">
        <v>25</v>
      </c>
      <c r="C26" s="2">
        <v>2</v>
      </c>
      <c r="D26" s="2">
        <v>0</v>
      </c>
      <c r="E26" s="2">
        <v>44.476327120000001</v>
      </c>
      <c r="F26" s="2">
        <v>2</v>
      </c>
      <c r="G26" s="2">
        <v>3</v>
      </c>
      <c r="H26" s="36"/>
    </row>
    <row r="27" spans="1:8" x14ac:dyDescent="0.2">
      <c r="A27" s="2" t="s">
        <v>172</v>
      </c>
      <c r="B27" s="2">
        <v>43</v>
      </c>
      <c r="C27" s="2">
        <v>1</v>
      </c>
      <c r="D27" s="2">
        <v>5</v>
      </c>
      <c r="E27" s="2">
        <v>79.908675799999997</v>
      </c>
      <c r="F27" s="2">
        <v>4</v>
      </c>
      <c r="G27" s="2">
        <v>0</v>
      </c>
      <c r="H27" s="36"/>
    </row>
    <row r="28" spans="1:8" x14ac:dyDescent="0.2">
      <c r="A28" s="2" t="s">
        <v>178</v>
      </c>
      <c r="B28" s="2">
        <v>31</v>
      </c>
      <c r="C28" s="2">
        <v>1</v>
      </c>
      <c r="D28" s="2">
        <v>0</v>
      </c>
      <c r="E28" s="2">
        <v>24.09638554</v>
      </c>
      <c r="F28" s="2">
        <v>2</v>
      </c>
      <c r="G28" s="2">
        <v>5</v>
      </c>
      <c r="H28" s="36"/>
    </row>
    <row r="29" spans="1:8" x14ac:dyDescent="0.2">
      <c r="A29" s="2" t="s">
        <v>182</v>
      </c>
      <c r="B29" s="2">
        <v>39</v>
      </c>
      <c r="C29" s="2">
        <v>2</v>
      </c>
      <c r="D29" s="2">
        <v>0</v>
      </c>
      <c r="E29" s="2">
        <v>55.210489989999999</v>
      </c>
      <c r="F29" s="2">
        <v>3</v>
      </c>
      <c r="G29" s="2">
        <v>5</v>
      </c>
      <c r="H29" s="36"/>
    </row>
    <row r="30" spans="1:8" x14ac:dyDescent="0.2">
      <c r="A30" s="2" t="s">
        <v>188</v>
      </c>
      <c r="B30" s="2">
        <v>25</v>
      </c>
      <c r="C30" s="2">
        <v>1</v>
      </c>
      <c r="D30" s="2">
        <v>2</v>
      </c>
      <c r="E30" s="2">
        <v>60.150375940000004</v>
      </c>
      <c r="F30" s="2">
        <v>2</v>
      </c>
      <c r="G30" s="2">
        <v>6</v>
      </c>
      <c r="H30" s="36"/>
    </row>
    <row r="31" spans="1:8" x14ac:dyDescent="0.2">
      <c r="A31" s="2" t="s">
        <v>193</v>
      </c>
      <c r="B31" s="2">
        <v>31</v>
      </c>
      <c r="C31" s="2">
        <v>2</v>
      </c>
      <c r="D31" s="2">
        <v>0</v>
      </c>
      <c r="E31" s="2">
        <v>34.822104469999999</v>
      </c>
      <c r="F31" s="2">
        <v>1</v>
      </c>
      <c r="G31" s="2">
        <v>1</v>
      </c>
      <c r="H31" s="36"/>
    </row>
    <row r="32" spans="1:8" x14ac:dyDescent="0.2">
      <c r="A32" s="2" t="s">
        <v>197</v>
      </c>
      <c r="B32" s="2">
        <v>37</v>
      </c>
      <c r="C32" s="2">
        <v>1</v>
      </c>
      <c r="D32" s="2">
        <v>0</v>
      </c>
      <c r="E32" s="2">
        <v>61.957868650000002</v>
      </c>
      <c r="F32" s="2">
        <v>1</v>
      </c>
      <c r="G32" s="2">
        <v>5</v>
      </c>
      <c r="H32" s="36"/>
    </row>
    <row r="33" spans="1:8" x14ac:dyDescent="0.2">
      <c r="A33" s="2" t="s">
        <v>202</v>
      </c>
      <c r="B33" s="2">
        <v>32</v>
      </c>
      <c r="C33" s="2">
        <v>2</v>
      </c>
      <c r="D33" s="2">
        <v>4</v>
      </c>
      <c r="E33" s="2">
        <v>61.736334409999998</v>
      </c>
      <c r="F33" s="2">
        <v>5</v>
      </c>
      <c r="G33" s="2">
        <v>6</v>
      </c>
      <c r="H33" s="36"/>
    </row>
    <row r="34" spans="1:8" x14ac:dyDescent="0.2">
      <c r="A34" s="2" t="s">
        <v>206</v>
      </c>
      <c r="B34" s="2">
        <v>28</v>
      </c>
      <c r="C34" s="2">
        <v>2</v>
      </c>
      <c r="D34" s="2">
        <v>9</v>
      </c>
      <c r="E34" s="2">
        <v>59.236165239999998</v>
      </c>
      <c r="F34" s="2">
        <v>1</v>
      </c>
      <c r="G34" s="2">
        <v>1</v>
      </c>
      <c r="H34" s="36"/>
    </row>
    <row r="35" spans="1:8" x14ac:dyDescent="0.2">
      <c r="A35" s="2" t="s">
        <v>211</v>
      </c>
      <c r="B35" s="2">
        <v>40</v>
      </c>
      <c r="C35" s="2">
        <v>1</v>
      </c>
      <c r="D35" s="2">
        <v>11</v>
      </c>
      <c r="E35" s="2">
        <v>84.175084179999999</v>
      </c>
      <c r="F35" s="2">
        <v>2</v>
      </c>
      <c r="G35" s="2">
        <v>8</v>
      </c>
      <c r="H35" s="36"/>
    </row>
    <row r="36" spans="1:8" x14ac:dyDescent="0.2">
      <c r="A36" s="2" t="s">
        <v>215</v>
      </c>
      <c r="B36" s="2">
        <v>29</v>
      </c>
      <c r="C36" s="2">
        <v>2</v>
      </c>
      <c r="D36" s="2">
        <v>0</v>
      </c>
      <c r="E36" s="2">
        <v>54.193548389999997</v>
      </c>
      <c r="F36" s="2">
        <v>7</v>
      </c>
      <c r="G36" s="2">
        <v>5</v>
      </c>
      <c r="H36" s="36"/>
    </row>
    <row r="37" spans="1:8" x14ac:dyDescent="0.2">
      <c r="A37" s="2" t="s">
        <v>219</v>
      </c>
      <c r="B37" s="2">
        <v>21</v>
      </c>
      <c r="C37" s="2">
        <v>2</v>
      </c>
      <c r="D37" s="2">
        <v>4</v>
      </c>
      <c r="E37" s="2">
        <v>58.708414869999999</v>
      </c>
      <c r="F37" s="2">
        <v>1</v>
      </c>
      <c r="G37" s="2">
        <v>2</v>
      </c>
      <c r="H37" s="36"/>
    </row>
    <row r="38" spans="1:8" x14ac:dyDescent="0.2">
      <c r="A38" s="2" t="s">
        <v>224</v>
      </c>
      <c r="B38" s="2">
        <v>24</v>
      </c>
      <c r="C38" s="2">
        <v>1</v>
      </c>
      <c r="D38" s="2">
        <v>6</v>
      </c>
      <c r="E38" s="2">
        <v>72.211476469999994</v>
      </c>
      <c r="F38" s="2">
        <v>2</v>
      </c>
      <c r="G38" s="2">
        <v>4</v>
      </c>
      <c r="H38" s="36"/>
    </row>
    <row r="39" spans="1:8" x14ac:dyDescent="0.2">
      <c r="A39" s="2" t="s">
        <v>229</v>
      </c>
      <c r="B39" s="2">
        <v>26</v>
      </c>
      <c r="C39" s="2">
        <v>1</v>
      </c>
      <c r="D39" s="2">
        <v>10</v>
      </c>
      <c r="E39" s="2">
        <v>82.417582420000002</v>
      </c>
      <c r="F39" s="2">
        <v>2</v>
      </c>
      <c r="G39" s="2">
        <v>3</v>
      </c>
      <c r="H39" s="36"/>
    </row>
    <row r="40" spans="1:8" x14ac:dyDescent="0.2">
      <c r="A40" s="2" t="s">
        <v>234</v>
      </c>
      <c r="B40" s="2">
        <v>44</v>
      </c>
      <c r="C40" s="2">
        <v>2</v>
      </c>
      <c r="D40" s="2">
        <v>0</v>
      </c>
      <c r="E40" s="2">
        <v>52.56570713</v>
      </c>
      <c r="F40" s="2">
        <v>2</v>
      </c>
      <c r="G40" s="2">
        <v>3</v>
      </c>
      <c r="H40" s="36"/>
    </row>
    <row r="41" spans="1:8" x14ac:dyDescent="0.2">
      <c r="A41" s="2" t="s">
        <v>237</v>
      </c>
      <c r="B41" s="2">
        <v>24</v>
      </c>
      <c r="C41" s="2">
        <v>2</v>
      </c>
      <c r="D41" s="2">
        <v>0</v>
      </c>
      <c r="E41" s="2">
        <v>44.382801659999998</v>
      </c>
      <c r="F41" s="2">
        <v>1</v>
      </c>
      <c r="G41" s="2">
        <v>4</v>
      </c>
      <c r="H41" s="36"/>
    </row>
    <row r="42" spans="1:8" x14ac:dyDescent="0.2">
      <c r="A42" s="2" t="s">
        <v>242</v>
      </c>
      <c r="B42" s="2">
        <v>33</v>
      </c>
      <c r="C42" s="2">
        <v>1</v>
      </c>
      <c r="D42" s="2">
        <v>8</v>
      </c>
      <c r="E42" s="2">
        <v>83.135391920000004</v>
      </c>
      <c r="F42" s="2">
        <v>7</v>
      </c>
      <c r="G42" s="2">
        <v>5</v>
      </c>
      <c r="H42" s="36"/>
    </row>
    <row r="43" spans="1:8" x14ac:dyDescent="0.2">
      <c r="A43" s="2" t="s">
        <v>246</v>
      </c>
      <c r="B43" s="2">
        <v>30</v>
      </c>
      <c r="C43" s="2">
        <v>2</v>
      </c>
      <c r="D43" s="2">
        <v>0</v>
      </c>
      <c r="E43" s="2">
        <v>46.260601389999998</v>
      </c>
      <c r="F43" s="2">
        <v>1</v>
      </c>
      <c r="G43" s="2">
        <v>2</v>
      </c>
      <c r="H43" s="36"/>
    </row>
    <row r="44" spans="1:8" x14ac:dyDescent="0.2">
      <c r="A44" s="2" t="s">
        <v>251</v>
      </c>
      <c r="B44" s="2">
        <v>27</v>
      </c>
      <c r="C44" s="2">
        <v>1</v>
      </c>
      <c r="D44" s="2">
        <v>17</v>
      </c>
      <c r="E44" s="2">
        <v>97.902097900000001</v>
      </c>
      <c r="F44" s="2">
        <v>2</v>
      </c>
      <c r="G44" s="2">
        <v>3</v>
      </c>
      <c r="H44" s="36"/>
    </row>
    <row r="45" spans="1:8" x14ac:dyDescent="0.2">
      <c r="A45" s="2" t="s">
        <v>259</v>
      </c>
      <c r="B45" s="2">
        <v>32</v>
      </c>
      <c r="C45" s="2">
        <v>1</v>
      </c>
      <c r="D45" s="2">
        <v>2</v>
      </c>
      <c r="E45" s="2">
        <v>75.975359339999997</v>
      </c>
      <c r="F45" s="2">
        <v>3</v>
      </c>
      <c r="G45" s="2">
        <v>5</v>
      </c>
      <c r="H45" s="36"/>
    </row>
    <row r="46" spans="1:8" x14ac:dyDescent="0.2">
      <c r="A46" s="2" t="s">
        <v>263</v>
      </c>
      <c r="B46" s="2">
        <v>45</v>
      </c>
      <c r="C46" s="2">
        <v>2</v>
      </c>
      <c r="D46" s="2">
        <v>0</v>
      </c>
      <c r="E46" s="2">
        <v>54.945054949999999</v>
      </c>
      <c r="F46" s="2">
        <v>4</v>
      </c>
      <c r="G46" s="2">
        <v>6</v>
      </c>
      <c r="H46" s="36"/>
    </row>
    <row r="47" spans="1:8" x14ac:dyDescent="0.2">
      <c r="A47" s="2" t="s">
        <v>268</v>
      </c>
      <c r="B47" s="2">
        <v>24</v>
      </c>
      <c r="C47" s="2">
        <v>2</v>
      </c>
      <c r="D47" s="2">
        <v>0</v>
      </c>
      <c r="E47" s="2">
        <v>57.239057240000001</v>
      </c>
      <c r="F47" s="2">
        <v>4</v>
      </c>
      <c r="G47" s="2">
        <v>2</v>
      </c>
      <c r="H47" s="36"/>
    </row>
    <row r="48" spans="1:8" x14ac:dyDescent="0.2">
      <c r="A48" s="2" t="s">
        <v>274</v>
      </c>
      <c r="B48" s="2">
        <v>21</v>
      </c>
      <c r="C48" s="2">
        <v>1</v>
      </c>
      <c r="D48" s="2">
        <v>11</v>
      </c>
      <c r="E48" s="2">
        <v>68.812430629999994</v>
      </c>
      <c r="F48" s="2">
        <v>1</v>
      </c>
      <c r="G48" s="2">
        <v>12</v>
      </c>
      <c r="H48" s="36"/>
    </row>
    <row r="49" spans="1:8" x14ac:dyDescent="0.2">
      <c r="A49" s="2" t="s">
        <v>277</v>
      </c>
      <c r="B49" s="2">
        <v>36</v>
      </c>
      <c r="C49" s="2">
        <v>1</v>
      </c>
      <c r="D49" s="2">
        <v>3</v>
      </c>
      <c r="E49" s="2">
        <v>76.759061829999993</v>
      </c>
      <c r="F49" s="2">
        <v>6</v>
      </c>
      <c r="G49" s="2">
        <v>2</v>
      </c>
      <c r="H49" s="36"/>
    </row>
    <row r="50" spans="1:8" x14ac:dyDescent="0.2">
      <c r="A50" s="2" t="s">
        <v>282</v>
      </c>
      <c r="B50" s="2">
        <v>49</v>
      </c>
      <c r="C50" s="2">
        <v>1</v>
      </c>
      <c r="D50" s="2">
        <v>0</v>
      </c>
      <c r="E50" s="2">
        <v>60.133630289999999</v>
      </c>
      <c r="F50" s="2">
        <v>1</v>
      </c>
      <c r="G50" s="2">
        <v>3</v>
      </c>
      <c r="H50" s="36"/>
    </row>
    <row r="51" spans="1:8" x14ac:dyDescent="0.2">
      <c r="A51" s="2" t="s">
        <v>290</v>
      </c>
      <c r="B51" s="2">
        <v>24</v>
      </c>
      <c r="C51" s="2">
        <v>1</v>
      </c>
      <c r="D51" s="2">
        <v>22</v>
      </c>
      <c r="E51" s="2">
        <v>84.21052632</v>
      </c>
      <c r="F51" s="2">
        <v>4</v>
      </c>
      <c r="G51" s="2">
        <v>5</v>
      </c>
      <c r="H51" s="36"/>
    </row>
    <row r="52" spans="1:8" x14ac:dyDescent="0.2">
      <c r="A52" s="2" t="s">
        <v>293</v>
      </c>
      <c r="B52" s="2">
        <v>30</v>
      </c>
      <c r="C52" s="2">
        <v>1</v>
      </c>
      <c r="D52" s="2">
        <v>0</v>
      </c>
      <c r="E52" s="2">
        <v>60.689655170000002</v>
      </c>
      <c r="F52" s="2">
        <v>3</v>
      </c>
      <c r="G52" s="2">
        <v>6</v>
      </c>
      <c r="H52" s="36"/>
    </row>
    <row r="53" spans="1:8" x14ac:dyDescent="0.2">
      <c r="A53" s="2" t="s">
        <v>297</v>
      </c>
      <c r="B53" s="2">
        <v>36</v>
      </c>
      <c r="C53" s="2">
        <v>1</v>
      </c>
      <c r="D53" s="2">
        <v>0</v>
      </c>
      <c r="E53" s="2">
        <v>47.281323880000002</v>
      </c>
      <c r="F53" s="2">
        <v>1</v>
      </c>
      <c r="G53" s="2">
        <v>2</v>
      </c>
      <c r="H53" s="36"/>
    </row>
    <row r="54" spans="1:8" x14ac:dyDescent="0.2">
      <c r="A54" s="2" t="s">
        <v>304</v>
      </c>
      <c r="B54" s="2">
        <v>37</v>
      </c>
      <c r="C54" s="2">
        <v>2</v>
      </c>
      <c r="D54" s="2">
        <v>0</v>
      </c>
      <c r="E54" s="2">
        <v>51.359516620000001</v>
      </c>
      <c r="F54" s="2">
        <v>1</v>
      </c>
      <c r="G54" s="2">
        <v>7</v>
      </c>
      <c r="H54" s="36"/>
    </row>
    <row r="55" spans="1:8" x14ac:dyDescent="0.2">
      <c r="A55" s="2" t="s">
        <v>307</v>
      </c>
      <c r="B55" s="2">
        <v>30</v>
      </c>
      <c r="C55" s="2">
        <v>1</v>
      </c>
      <c r="D55" s="2">
        <v>8</v>
      </c>
      <c r="E55" s="2">
        <v>86.279209109999996</v>
      </c>
      <c r="F55" s="2">
        <v>3</v>
      </c>
      <c r="G55" s="2">
        <v>5</v>
      </c>
      <c r="H55" s="36"/>
    </row>
    <row r="56" spans="1:8" x14ac:dyDescent="0.2">
      <c r="A56" s="2" t="s">
        <v>310</v>
      </c>
      <c r="B56" s="2">
        <v>41</v>
      </c>
      <c r="C56" s="2">
        <v>1</v>
      </c>
      <c r="D56" s="2">
        <v>0</v>
      </c>
      <c r="E56" s="2">
        <v>72.051133059999998</v>
      </c>
      <c r="F56" s="2">
        <v>7</v>
      </c>
      <c r="G56" s="2">
        <v>6</v>
      </c>
      <c r="H56" s="36"/>
    </row>
    <row r="57" spans="1:8" x14ac:dyDescent="0.2">
      <c r="A57" s="2" t="s">
        <v>314</v>
      </c>
      <c r="B57" s="2">
        <v>31</v>
      </c>
      <c r="C57" s="2">
        <v>1</v>
      </c>
      <c r="D57" s="2">
        <v>13</v>
      </c>
      <c r="E57" s="2">
        <v>85.276482349999995</v>
      </c>
      <c r="F57" s="2">
        <v>7</v>
      </c>
      <c r="G57" s="2">
        <v>5</v>
      </c>
      <c r="H57" s="36"/>
    </row>
    <row r="58" spans="1:8" x14ac:dyDescent="0.2">
      <c r="A58" s="2" t="s">
        <v>318</v>
      </c>
      <c r="B58" s="2">
        <v>40</v>
      </c>
      <c r="C58" s="2">
        <v>1</v>
      </c>
      <c r="D58" s="2">
        <v>12</v>
      </c>
      <c r="E58" s="2">
        <v>73.215375230000006</v>
      </c>
      <c r="F58" s="2">
        <v>2</v>
      </c>
      <c r="G58" s="2">
        <v>3</v>
      </c>
      <c r="H58" s="36"/>
    </row>
    <row r="59" spans="1:8" x14ac:dyDescent="0.2">
      <c r="A59" s="2" t="s">
        <v>324</v>
      </c>
      <c r="B59" s="2">
        <v>34</v>
      </c>
      <c r="C59" s="2">
        <v>2</v>
      </c>
      <c r="D59" s="2">
        <v>0</v>
      </c>
      <c r="E59" s="2">
        <v>56.695992179999998</v>
      </c>
      <c r="F59" s="2">
        <v>1</v>
      </c>
      <c r="G59" s="2">
        <v>4</v>
      </c>
      <c r="H59" s="36"/>
    </row>
    <row r="60" spans="1:8" x14ac:dyDescent="0.2">
      <c r="A60" s="2" t="s">
        <v>327</v>
      </c>
      <c r="B60" s="2">
        <v>27</v>
      </c>
      <c r="C60" s="2">
        <v>2</v>
      </c>
      <c r="D60" s="2">
        <v>0</v>
      </c>
      <c r="E60" s="2">
        <v>58.189655170000002</v>
      </c>
      <c r="F60" s="2">
        <v>4</v>
      </c>
      <c r="G60" s="2">
        <v>4</v>
      </c>
      <c r="H60" s="36"/>
    </row>
    <row r="61" spans="1:8" x14ac:dyDescent="0.2">
      <c r="A61" s="2" t="s">
        <v>331</v>
      </c>
      <c r="B61" s="2">
        <v>48</v>
      </c>
      <c r="C61" s="2">
        <v>1</v>
      </c>
      <c r="D61" s="2">
        <v>11</v>
      </c>
      <c r="E61" s="2">
        <v>80.40739748</v>
      </c>
      <c r="F61" s="2">
        <v>2</v>
      </c>
      <c r="G61" s="2">
        <v>3</v>
      </c>
      <c r="H61" s="36"/>
    </row>
    <row r="62" spans="1:8" x14ac:dyDescent="0.2">
      <c r="A62" s="2" t="s">
        <v>336</v>
      </c>
      <c r="B62" s="2">
        <v>45</v>
      </c>
      <c r="C62" s="2">
        <v>1</v>
      </c>
      <c r="D62" s="2">
        <v>7</v>
      </c>
      <c r="E62" s="2">
        <v>78.096400239999994</v>
      </c>
      <c r="F62" s="2">
        <v>3</v>
      </c>
      <c r="G62" s="2">
        <v>5</v>
      </c>
      <c r="H62" s="36"/>
    </row>
    <row r="63" spans="1:8" x14ac:dyDescent="0.2">
      <c r="A63" s="2" t="s">
        <v>342</v>
      </c>
      <c r="B63" s="2">
        <v>26</v>
      </c>
      <c r="C63" s="2">
        <v>1</v>
      </c>
      <c r="D63" s="2">
        <v>7</v>
      </c>
      <c r="E63" s="2">
        <v>81.269841270000001</v>
      </c>
      <c r="F63" s="2">
        <v>2</v>
      </c>
      <c r="G63" s="2">
        <v>5</v>
      </c>
      <c r="H63" s="36"/>
    </row>
    <row r="64" spans="1:8" x14ac:dyDescent="0.2">
      <c r="A64" s="2" t="s">
        <v>347</v>
      </c>
      <c r="B64" s="2">
        <v>29</v>
      </c>
      <c r="C64" s="2">
        <v>1</v>
      </c>
      <c r="D64" s="2">
        <v>5</v>
      </c>
      <c r="E64" s="2">
        <v>67.848882040000007</v>
      </c>
      <c r="F64" s="2">
        <v>2</v>
      </c>
      <c r="G64" s="2">
        <v>4</v>
      </c>
      <c r="H64" s="36"/>
    </row>
    <row r="65" spans="1:8" x14ac:dyDescent="0.2">
      <c r="A65" s="2" t="s">
        <v>351</v>
      </c>
      <c r="B65" s="2">
        <v>23</v>
      </c>
      <c r="C65" s="2">
        <v>2</v>
      </c>
      <c r="D65" s="2">
        <v>9</v>
      </c>
      <c r="E65" s="2">
        <v>58.769513310000001</v>
      </c>
      <c r="F65" s="2">
        <v>2</v>
      </c>
      <c r="G65" s="2">
        <v>6</v>
      </c>
      <c r="H65" s="36"/>
    </row>
    <row r="66" spans="1:8" x14ac:dyDescent="0.2">
      <c r="A66" s="2" t="s">
        <v>356</v>
      </c>
      <c r="B66" s="2">
        <v>31</v>
      </c>
      <c r="C66" s="2">
        <v>2</v>
      </c>
      <c r="D66" s="2">
        <v>0</v>
      </c>
      <c r="E66" s="2">
        <v>50.083472450000002</v>
      </c>
      <c r="F66" s="2">
        <v>2</v>
      </c>
      <c r="G66" s="2">
        <v>5</v>
      </c>
      <c r="H66" s="36"/>
    </row>
    <row r="67" spans="1:8" x14ac:dyDescent="0.2">
      <c r="A67" s="2" t="s">
        <v>365</v>
      </c>
      <c r="B67" s="2">
        <v>29</v>
      </c>
      <c r="C67" s="2">
        <v>1</v>
      </c>
      <c r="D67" s="2">
        <v>2</v>
      </c>
      <c r="E67" s="2">
        <v>66.408411729999997</v>
      </c>
      <c r="F67" s="2">
        <v>2</v>
      </c>
      <c r="G67" s="2">
        <v>5</v>
      </c>
      <c r="H67" s="36"/>
    </row>
    <row r="68" spans="1:8" x14ac:dyDescent="0.2">
      <c r="A68" s="2" t="s">
        <v>375</v>
      </c>
      <c r="B68" s="2">
        <v>26</v>
      </c>
      <c r="C68" s="2">
        <v>1</v>
      </c>
      <c r="D68" s="2">
        <v>18</v>
      </c>
      <c r="E68" s="2">
        <v>104.02476780000001</v>
      </c>
      <c r="F68" s="2">
        <v>2</v>
      </c>
      <c r="G68" s="2">
        <v>7</v>
      </c>
      <c r="H68" s="36"/>
    </row>
    <row r="69" spans="1:8" x14ac:dyDescent="0.2">
      <c r="A69" s="2" t="s">
        <v>379</v>
      </c>
      <c r="B69" s="2">
        <v>46</v>
      </c>
      <c r="C69" s="2">
        <v>2</v>
      </c>
      <c r="D69" s="2">
        <v>0</v>
      </c>
      <c r="E69" s="2">
        <v>49.382716049999999</v>
      </c>
      <c r="F69" s="2">
        <v>3</v>
      </c>
      <c r="G69" s="2">
        <v>1</v>
      </c>
      <c r="H69" s="36"/>
    </row>
    <row r="70" spans="1:8" x14ac:dyDescent="0.2">
      <c r="A70" s="2" t="s">
        <v>382</v>
      </c>
      <c r="B70" s="2">
        <v>29</v>
      </c>
      <c r="C70" s="2">
        <v>2</v>
      </c>
      <c r="D70" s="2">
        <v>0</v>
      </c>
      <c r="E70" s="2">
        <v>57.18954248</v>
      </c>
      <c r="F70" s="2">
        <v>7</v>
      </c>
      <c r="G70" s="2">
        <v>3</v>
      </c>
      <c r="H70" s="36"/>
    </row>
    <row r="71" spans="1:8" x14ac:dyDescent="0.2">
      <c r="A71" s="2" t="s">
        <v>387</v>
      </c>
      <c r="B71" s="2">
        <v>38</v>
      </c>
      <c r="C71" s="2">
        <v>1</v>
      </c>
      <c r="D71" s="2">
        <v>0</v>
      </c>
      <c r="E71" s="2">
        <v>56.529112490000003</v>
      </c>
      <c r="F71" s="2">
        <v>4</v>
      </c>
      <c r="G71" s="2">
        <v>3</v>
      </c>
      <c r="H71" s="36"/>
    </row>
    <row r="72" spans="1:8" x14ac:dyDescent="0.2">
      <c r="A72" s="2" t="s">
        <v>390</v>
      </c>
      <c r="B72" s="2">
        <v>46</v>
      </c>
      <c r="C72" s="2">
        <v>1</v>
      </c>
      <c r="D72" s="2">
        <v>7</v>
      </c>
      <c r="E72" s="2">
        <v>76.604554870000001</v>
      </c>
      <c r="F72" s="2">
        <v>4</v>
      </c>
      <c r="G72" s="2">
        <v>5</v>
      </c>
      <c r="H72" s="36"/>
    </row>
    <row r="73" spans="1:8" x14ac:dyDescent="0.2">
      <c r="A73" s="2" t="s">
        <v>393</v>
      </c>
      <c r="B73" s="2">
        <v>25</v>
      </c>
      <c r="C73" s="2">
        <v>1</v>
      </c>
      <c r="D73" s="2">
        <v>0</v>
      </c>
      <c r="E73" s="2">
        <v>56.75508945</v>
      </c>
      <c r="F73" s="2">
        <v>7</v>
      </c>
      <c r="G73" s="2">
        <v>4</v>
      </c>
      <c r="H73" s="36"/>
    </row>
    <row r="74" spans="1:8" x14ac:dyDescent="0.2">
      <c r="A74" s="2" t="s">
        <v>397</v>
      </c>
      <c r="B74" s="2">
        <v>25</v>
      </c>
      <c r="C74" s="2">
        <v>1</v>
      </c>
      <c r="D74" s="2">
        <v>0</v>
      </c>
      <c r="E74" s="2">
        <v>66.181336860000002</v>
      </c>
      <c r="F74" s="2">
        <v>2</v>
      </c>
      <c r="G74" s="2">
        <v>3</v>
      </c>
      <c r="H74" s="36"/>
    </row>
    <row r="75" spans="1:8" x14ac:dyDescent="0.2">
      <c r="A75" s="2" t="s">
        <v>403</v>
      </c>
      <c r="B75" s="2">
        <v>32</v>
      </c>
      <c r="C75" s="2">
        <v>1</v>
      </c>
      <c r="D75" s="2">
        <v>25</v>
      </c>
      <c r="E75" s="2">
        <v>85.697741750000006</v>
      </c>
      <c r="F75" s="2">
        <v>1</v>
      </c>
      <c r="G75" s="2">
        <v>13</v>
      </c>
      <c r="H75" s="36"/>
    </row>
    <row r="76" spans="1:8" x14ac:dyDescent="0.2">
      <c r="A76" s="2" t="s">
        <v>408</v>
      </c>
      <c r="B76" s="2">
        <v>23</v>
      </c>
      <c r="C76" s="2">
        <v>1</v>
      </c>
      <c r="D76" s="2">
        <v>20</v>
      </c>
      <c r="E76" s="2">
        <v>82.603254070000006</v>
      </c>
      <c r="F76" s="2">
        <v>2</v>
      </c>
      <c r="G76" s="2">
        <v>10</v>
      </c>
      <c r="H76" s="36"/>
    </row>
    <row r="77" spans="1:8" x14ac:dyDescent="0.2">
      <c r="A77" s="2" t="s">
        <v>412</v>
      </c>
      <c r="B77" s="2">
        <v>30</v>
      </c>
      <c r="C77" s="2">
        <v>2</v>
      </c>
      <c r="D77" s="2">
        <v>0</v>
      </c>
      <c r="E77" s="2">
        <v>36.339165549999997</v>
      </c>
      <c r="F77" s="2">
        <v>3</v>
      </c>
      <c r="G77" s="2">
        <v>4</v>
      </c>
      <c r="H77" s="36"/>
    </row>
    <row r="78" spans="1:8" x14ac:dyDescent="0.2">
      <c r="A78" s="2" t="s">
        <v>418</v>
      </c>
      <c r="B78" s="2">
        <v>36</v>
      </c>
      <c r="C78" s="2">
        <v>1</v>
      </c>
      <c r="D78" s="2">
        <v>10</v>
      </c>
      <c r="E78" s="2">
        <v>82.663605050000001</v>
      </c>
      <c r="F78" s="2">
        <v>2</v>
      </c>
      <c r="G78" s="2">
        <v>5</v>
      </c>
      <c r="H78" s="36"/>
    </row>
    <row r="79" spans="1:8" x14ac:dyDescent="0.2">
      <c r="A79" s="2" t="s">
        <v>424</v>
      </c>
      <c r="B79" s="2">
        <v>31</v>
      </c>
      <c r="C79" s="2">
        <v>2</v>
      </c>
      <c r="D79" s="2">
        <v>3</v>
      </c>
      <c r="E79" s="2">
        <v>63.814358230000003</v>
      </c>
      <c r="F79" s="2">
        <v>5</v>
      </c>
      <c r="G79" s="2">
        <v>6</v>
      </c>
      <c r="H79" s="36"/>
    </row>
    <row r="80" spans="1:8" x14ac:dyDescent="0.2">
      <c r="A80" s="2" t="s">
        <v>430</v>
      </c>
      <c r="B80" s="2">
        <v>38</v>
      </c>
      <c r="C80" s="2">
        <v>2</v>
      </c>
      <c r="D80" s="2">
        <v>0</v>
      </c>
      <c r="E80" s="2">
        <v>42.41948154</v>
      </c>
      <c r="F80" s="2">
        <v>7</v>
      </c>
      <c r="G80" s="2">
        <v>4</v>
      </c>
      <c r="H80" s="36"/>
    </row>
    <row r="81" spans="1:8" x14ac:dyDescent="0.2">
      <c r="A81" s="2" t="s">
        <v>434</v>
      </c>
      <c r="B81" s="2">
        <v>30</v>
      </c>
      <c r="C81" s="2">
        <v>1</v>
      </c>
      <c r="D81" s="2">
        <v>1</v>
      </c>
      <c r="E81" s="2">
        <v>62.54442075</v>
      </c>
      <c r="F81" s="2">
        <v>2</v>
      </c>
      <c r="G81" s="2">
        <v>5</v>
      </c>
      <c r="H81" s="36"/>
    </row>
    <row r="82" spans="1:8" x14ac:dyDescent="0.2">
      <c r="A82" s="2" t="s">
        <v>440</v>
      </c>
      <c r="B82" s="2">
        <v>30</v>
      </c>
      <c r="C82" s="2">
        <v>1</v>
      </c>
      <c r="D82" s="2">
        <v>17</v>
      </c>
      <c r="E82" s="2">
        <v>78.720787209999997</v>
      </c>
      <c r="F82" s="2">
        <v>1</v>
      </c>
      <c r="G82" s="2">
        <v>6</v>
      </c>
      <c r="H82" s="36"/>
    </row>
    <row r="83" spans="1:8" x14ac:dyDescent="0.2">
      <c r="A83" s="2" t="s">
        <v>444</v>
      </c>
      <c r="B83" s="2">
        <v>20</v>
      </c>
      <c r="C83" s="2">
        <v>1</v>
      </c>
      <c r="D83" s="2">
        <v>10</v>
      </c>
      <c r="E83" s="2">
        <v>74.829931970000004</v>
      </c>
      <c r="F83" s="2">
        <v>3</v>
      </c>
      <c r="G83" s="2">
        <v>8</v>
      </c>
      <c r="H83" s="36"/>
    </row>
    <row r="84" spans="1:8" x14ac:dyDescent="0.2">
      <c r="A84" s="2" t="s">
        <v>449</v>
      </c>
      <c r="B84" s="2">
        <v>28</v>
      </c>
      <c r="C84" s="2">
        <v>1</v>
      </c>
      <c r="D84" s="2">
        <v>1</v>
      </c>
      <c r="E84" s="2">
        <v>64.927536230000001</v>
      </c>
      <c r="F84" s="2">
        <v>7</v>
      </c>
      <c r="G84" s="2">
        <v>6</v>
      </c>
      <c r="H84" s="36"/>
    </row>
    <row r="85" spans="1:8" x14ac:dyDescent="0.2">
      <c r="A85" s="2" t="s">
        <v>455</v>
      </c>
      <c r="B85" s="2">
        <v>21</v>
      </c>
      <c r="C85" s="2">
        <v>1</v>
      </c>
      <c r="D85" s="2">
        <v>7</v>
      </c>
      <c r="E85" s="2">
        <v>66.992323799999994</v>
      </c>
      <c r="F85" s="2">
        <v>1</v>
      </c>
      <c r="G85" s="2">
        <v>10</v>
      </c>
      <c r="H85" s="36"/>
    </row>
    <row r="86" spans="1:8" x14ac:dyDescent="0.2">
      <c r="A86" s="2" t="s">
        <v>459</v>
      </c>
      <c r="B86" s="2">
        <v>40</v>
      </c>
      <c r="C86" s="2">
        <v>2</v>
      </c>
      <c r="D86" s="2">
        <v>1</v>
      </c>
      <c r="E86" s="2">
        <v>65.420560750000007</v>
      </c>
      <c r="F86" s="2">
        <v>3</v>
      </c>
      <c r="G86" s="2">
        <v>4</v>
      </c>
      <c r="H86" s="36"/>
    </row>
    <row r="87" spans="1:8" x14ac:dyDescent="0.2">
      <c r="A87" s="2" t="s">
        <v>467</v>
      </c>
      <c r="B87" s="2">
        <v>40</v>
      </c>
      <c r="C87" s="2">
        <v>2</v>
      </c>
      <c r="D87" s="2">
        <v>0</v>
      </c>
      <c r="E87" s="2">
        <v>53.264604810000002</v>
      </c>
      <c r="F87" s="2">
        <v>7</v>
      </c>
      <c r="G87" s="2">
        <v>7</v>
      </c>
      <c r="H87" s="36"/>
    </row>
    <row r="88" spans="1:8" x14ac:dyDescent="0.2">
      <c r="A88" s="2" t="s">
        <v>474</v>
      </c>
      <c r="B88" s="2">
        <v>21</v>
      </c>
      <c r="C88" s="2">
        <v>2</v>
      </c>
      <c r="D88" s="2">
        <v>0</v>
      </c>
      <c r="E88" s="2">
        <v>42.490842489999999</v>
      </c>
      <c r="F88" s="2">
        <v>7</v>
      </c>
      <c r="G88" s="2">
        <v>3</v>
      </c>
      <c r="H88" s="36"/>
    </row>
    <row r="89" spans="1:8" x14ac:dyDescent="0.2">
      <c r="A89" s="2" t="s">
        <v>481</v>
      </c>
      <c r="B89" s="2">
        <v>20</v>
      </c>
      <c r="C89" s="2">
        <v>1</v>
      </c>
      <c r="D89" s="2">
        <v>5</v>
      </c>
      <c r="E89" s="2">
        <v>68.610634649999994</v>
      </c>
      <c r="F89" s="2">
        <v>2</v>
      </c>
      <c r="G89" s="2">
        <v>6</v>
      </c>
      <c r="H89" s="36"/>
    </row>
    <row r="90" spans="1:8" x14ac:dyDescent="0.2">
      <c r="A90" s="2" t="s">
        <v>487</v>
      </c>
      <c r="B90" s="2">
        <v>24</v>
      </c>
      <c r="C90" s="2">
        <v>1</v>
      </c>
      <c r="D90" s="2">
        <v>24</v>
      </c>
      <c r="E90" s="2">
        <v>103.6806636</v>
      </c>
      <c r="F90" s="2">
        <v>2</v>
      </c>
      <c r="G90" s="2">
        <v>24</v>
      </c>
      <c r="H90" s="36"/>
    </row>
    <row r="91" spans="1:8" x14ac:dyDescent="0.2">
      <c r="A91" s="27" t="s">
        <v>492</v>
      </c>
      <c r="B91" s="2">
        <v>37</v>
      </c>
      <c r="C91" s="2">
        <v>1</v>
      </c>
      <c r="D91" s="2">
        <v>3</v>
      </c>
      <c r="E91" s="2">
        <v>68.681318680000004</v>
      </c>
      <c r="F91" s="2">
        <v>3</v>
      </c>
      <c r="G91" s="2">
        <v>4</v>
      </c>
      <c r="H91" s="36"/>
    </row>
    <row r="92" spans="1:8" x14ac:dyDescent="0.2">
      <c r="A92" s="2" t="s">
        <v>497</v>
      </c>
      <c r="B92" s="2">
        <v>22</v>
      </c>
      <c r="C92" s="2">
        <v>1</v>
      </c>
      <c r="D92" s="2">
        <v>9</v>
      </c>
      <c r="E92" s="2">
        <v>73.304825899999997</v>
      </c>
      <c r="F92" s="2">
        <v>3</v>
      </c>
      <c r="G92" s="2">
        <v>5</v>
      </c>
      <c r="H92" s="36"/>
    </row>
    <row r="93" spans="1:8" x14ac:dyDescent="0.2">
      <c r="A93" s="2" t="s">
        <v>504</v>
      </c>
      <c r="B93" s="2">
        <v>41</v>
      </c>
      <c r="C93" s="2">
        <v>1</v>
      </c>
      <c r="D93" s="2">
        <v>0</v>
      </c>
      <c r="E93" s="2">
        <v>51.58264947</v>
      </c>
      <c r="F93" s="2">
        <v>6</v>
      </c>
      <c r="G93" s="2">
        <v>5</v>
      </c>
      <c r="H93" s="36"/>
    </row>
    <row r="94" spans="1:8" x14ac:dyDescent="0.2">
      <c r="A94" s="2" t="s">
        <v>508</v>
      </c>
      <c r="B94" s="2">
        <v>36</v>
      </c>
      <c r="C94" s="2">
        <v>1</v>
      </c>
      <c r="D94" s="2">
        <v>0</v>
      </c>
      <c r="E94" s="2">
        <v>58.927519150000002</v>
      </c>
      <c r="F94" s="2">
        <v>2</v>
      </c>
      <c r="G94" s="2">
        <v>1</v>
      </c>
      <c r="H94" s="36"/>
    </row>
    <row r="95" spans="1:8" x14ac:dyDescent="0.2">
      <c r="A95" s="2" t="s">
        <v>514</v>
      </c>
      <c r="B95" s="2">
        <v>28</v>
      </c>
      <c r="C95" s="2">
        <v>2</v>
      </c>
      <c r="D95" s="2">
        <v>0</v>
      </c>
      <c r="E95" s="2">
        <v>45.454545449999998</v>
      </c>
      <c r="F95" s="2">
        <v>1</v>
      </c>
      <c r="G95" s="2">
        <v>5</v>
      </c>
      <c r="H95" s="36"/>
    </row>
    <row r="96" spans="1:8" x14ac:dyDescent="0.2">
      <c r="A96" s="2" t="s">
        <v>518</v>
      </c>
      <c r="B96" s="2">
        <v>35</v>
      </c>
      <c r="C96" s="2">
        <v>2</v>
      </c>
      <c r="D96" s="2">
        <v>4</v>
      </c>
      <c r="E96" s="2">
        <v>67.632850239999996</v>
      </c>
      <c r="F96" s="2">
        <v>2</v>
      </c>
      <c r="G96" s="2">
        <v>6</v>
      </c>
      <c r="H96" s="36"/>
    </row>
    <row r="97" spans="1:8" x14ac:dyDescent="0.2">
      <c r="A97" s="2" t="s">
        <v>522</v>
      </c>
      <c r="B97" s="2">
        <v>44</v>
      </c>
      <c r="C97" s="2">
        <v>1</v>
      </c>
      <c r="D97" s="2">
        <v>4</v>
      </c>
      <c r="E97" s="2">
        <v>78.911564630000001</v>
      </c>
      <c r="F97" s="2">
        <v>6</v>
      </c>
      <c r="G97" s="2">
        <v>3</v>
      </c>
      <c r="H97" s="36"/>
    </row>
    <row r="98" spans="1:8" x14ac:dyDescent="0.2">
      <c r="A98" s="2" t="s">
        <v>526</v>
      </c>
      <c r="B98" s="2">
        <v>39</v>
      </c>
      <c r="C98" s="2">
        <v>1</v>
      </c>
      <c r="D98" s="2">
        <v>10</v>
      </c>
      <c r="E98" s="2">
        <v>77.336197639999995</v>
      </c>
      <c r="F98" s="2">
        <v>1</v>
      </c>
      <c r="G98" s="2">
        <v>5</v>
      </c>
      <c r="H98" s="36"/>
    </row>
    <row r="99" spans="1:8" x14ac:dyDescent="0.2">
      <c r="A99" s="2" t="s">
        <v>530</v>
      </c>
      <c r="B99" s="2">
        <v>28</v>
      </c>
      <c r="C99" s="2">
        <v>1</v>
      </c>
      <c r="D99" s="2">
        <v>5</v>
      </c>
      <c r="E99" s="2">
        <v>73.858114670000006</v>
      </c>
      <c r="F99" s="2">
        <v>3</v>
      </c>
      <c r="G99" s="2">
        <v>15</v>
      </c>
      <c r="H99" s="36"/>
    </row>
    <row r="100" spans="1:8" x14ac:dyDescent="0.2">
      <c r="A100" s="2" t="s">
        <v>533</v>
      </c>
      <c r="B100" s="2">
        <v>24</v>
      </c>
      <c r="C100" s="2">
        <v>1</v>
      </c>
      <c r="D100" s="2">
        <v>3</v>
      </c>
      <c r="E100" s="2">
        <v>66.81852696</v>
      </c>
      <c r="F100" s="2">
        <v>2</v>
      </c>
      <c r="G100" s="2">
        <v>11</v>
      </c>
      <c r="H100" s="36"/>
    </row>
    <row r="101" spans="1:8" x14ac:dyDescent="0.2">
      <c r="A101" s="2" t="s">
        <v>537</v>
      </c>
      <c r="B101" s="2">
        <v>26</v>
      </c>
      <c r="C101" s="2">
        <v>1</v>
      </c>
      <c r="D101" s="2">
        <v>7</v>
      </c>
      <c r="E101" s="2">
        <v>80.499653019999997</v>
      </c>
      <c r="F101" s="2">
        <v>3</v>
      </c>
      <c r="G101" s="2">
        <v>8</v>
      </c>
      <c r="H101" s="36"/>
    </row>
    <row r="102" spans="1:8" x14ac:dyDescent="0.2">
      <c r="A102" s="2" t="s">
        <v>543</v>
      </c>
      <c r="B102" s="2">
        <v>29</v>
      </c>
      <c r="C102" s="2">
        <v>1</v>
      </c>
      <c r="D102" s="2">
        <v>9</v>
      </c>
      <c r="E102" s="2">
        <v>69.408740359999996</v>
      </c>
      <c r="F102" s="2">
        <v>7</v>
      </c>
      <c r="G102" s="2">
        <v>4</v>
      </c>
      <c r="H102" s="36"/>
    </row>
    <row r="103" spans="1:8" x14ac:dyDescent="0.2">
      <c r="A103" s="2" t="s">
        <v>550</v>
      </c>
      <c r="B103" s="2">
        <v>29</v>
      </c>
      <c r="C103" s="2">
        <v>2</v>
      </c>
      <c r="D103" s="2">
        <v>1</v>
      </c>
      <c r="E103" s="2">
        <v>56.962025320000002</v>
      </c>
      <c r="F103" s="2">
        <v>4</v>
      </c>
      <c r="G103" s="2">
        <v>4</v>
      </c>
      <c r="H103" s="36"/>
    </row>
    <row r="104" spans="1:8" x14ac:dyDescent="0.2">
      <c r="A104" s="2" t="s">
        <v>554</v>
      </c>
      <c r="B104" s="2">
        <v>40</v>
      </c>
      <c r="C104" s="2">
        <v>2</v>
      </c>
      <c r="D104" s="2">
        <v>0</v>
      </c>
      <c r="E104" s="2">
        <v>49.34464148</v>
      </c>
      <c r="F104" s="2">
        <v>1</v>
      </c>
      <c r="G104" s="2">
        <v>4</v>
      </c>
      <c r="H104" s="36"/>
    </row>
    <row r="105" spans="1:8" x14ac:dyDescent="0.2">
      <c r="A105" s="2" t="s">
        <v>557</v>
      </c>
      <c r="B105" s="2">
        <v>38</v>
      </c>
      <c r="C105" s="2">
        <v>2</v>
      </c>
      <c r="D105" s="2">
        <v>0</v>
      </c>
      <c r="E105" s="2">
        <v>45.454545449999998</v>
      </c>
      <c r="F105" s="2">
        <v>4</v>
      </c>
      <c r="G105" s="2">
        <v>4</v>
      </c>
      <c r="H105" s="36"/>
    </row>
    <row r="106" spans="1:8" x14ac:dyDescent="0.2">
      <c r="A106" s="2" t="s">
        <v>565</v>
      </c>
      <c r="B106" s="2">
        <v>26</v>
      </c>
      <c r="C106" s="2">
        <v>2</v>
      </c>
      <c r="D106" s="2">
        <v>0</v>
      </c>
      <c r="E106" s="2">
        <v>46.890927619999999</v>
      </c>
      <c r="F106" s="2">
        <v>4</v>
      </c>
      <c r="G106" s="2">
        <v>3</v>
      </c>
      <c r="H106" s="36"/>
    </row>
    <row r="107" spans="1:8" x14ac:dyDescent="0.2">
      <c r="A107" s="2" t="s">
        <v>570</v>
      </c>
      <c r="B107" s="2">
        <v>35</v>
      </c>
      <c r="C107" s="2">
        <v>2</v>
      </c>
      <c r="D107" s="2">
        <v>8</v>
      </c>
      <c r="E107" s="2">
        <v>61.208875290000002</v>
      </c>
      <c r="F107" s="2">
        <v>1</v>
      </c>
      <c r="G107" s="2">
        <v>3</v>
      </c>
      <c r="H107" s="36"/>
    </row>
    <row r="108" spans="1:8" x14ac:dyDescent="0.2">
      <c r="A108" s="2" t="s">
        <v>574</v>
      </c>
      <c r="B108" s="2">
        <v>27</v>
      </c>
      <c r="C108" s="2">
        <v>1</v>
      </c>
      <c r="D108" s="2">
        <v>9</v>
      </c>
      <c r="E108" s="2">
        <v>83.983203360000005</v>
      </c>
      <c r="F108" s="2">
        <v>4</v>
      </c>
      <c r="G108" s="2">
        <v>5</v>
      </c>
      <c r="H108" s="36"/>
    </row>
    <row r="109" spans="1:8" x14ac:dyDescent="0.2">
      <c r="A109" s="37" t="s">
        <v>368</v>
      </c>
      <c r="B109" s="38">
        <v>30</v>
      </c>
      <c r="C109" s="38">
        <v>1</v>
      </c>
      <c r="D109" s="38">
        <v>11</v>
      </c>
      <c r="E109" s="38">
        <v>81.460674159999996</v>
      </c>
      <c r="F109" s="38">
        <v>2</v>
      </c>
      <c r="G109" s="38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19"/>
  <sheetViews>
    <sheetView topLeftCell="B41" workbookViewId="0">
      <selection activeCell="B68" sqref="A68:XFD68"/>
    </sheetView>
  </sheetViews>
  <sheetFormatPr defaultColWidth="12.5703125" defaultRowHeight="15.75" customHeight="1" x14ac:dyDescent="0.2"/>
  <cols>
    <col min="1" max="1" width="12.5703125" hidden="1"/>
    <col min="2" max="2" width="34.42578125" customWidth="1"/>
    <col min="3" max="3" width="4.85546875" customWidth="1"/>
    <col min="4" max="5" width="8.42578125" customWidth="1"/>
    <col min="6" max="6" width="4.28515625" customWidth="1"/>
    <col min="13" max="13" width="23.5703125" customWidth="1"/>
    <col min="15" max="15" width="23.28515625" customWidth="1"/>
  </cols>
  <sheetData>
    <row r="1" spans="1:41" s="26" customForma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/>
      <c r="AG1" s="25"/>
      <c r="AH1" s="25"/>
      <c r="AI1" s="25"/>
      <c r="AJ1" s="25"/>
      <c r="AK1" s="25"/>
      <c r="AL1" s="25"/>
      <c r="AM1" s="25"/>
      <c r="AN1" s="25"/>
      <c r="AO1" s="25"/>
    </row>
    <row r="2" spans="1:41" ht="12.75" x14ac:dyDescent="0.2">
      <c r="A2" s="1">
        <v>45478.759398148148</v>
      </c>
      <c r="B2" s="2" t="s">
        <v>31</v>
      </c>
      <c r="C2" s="2">
        <v>49</v>
      </c>
      <c r="D2" s="2" t="s">
        <v>32</v>
      </c>
      <c r="E2" s="2" t="s">
        <v>33</v>
      </c>
      <c r="F2" s="2">
        <v>0</v>
      </c>
      <c r="G2" s="2">
        <v>80.849999999999994</v>
      </c>
      <c r="H2" s="2">
        <v>40</v>
      </c>
      <c r="I2" s="2">
        <v>49.474335189999998</v>
      </c>
      <c r="J2" s="2" t="s">
        <v>34</v>
      </c>
      <c r="K2" s="2">
        <v>4</v>
      </c>
      <c r="L2" s="2" t="s">
        <v>35</v>
      </c>
      <c r="M2" s="2"/>
      <c r="N2" s="2"/>
      <c r="O2" s="2"/>
      <c r="P2" s="2" t="s">
        <v>35</v>
      </c>
      <c r="Q2" s="2"/>
      <c r="R2" s="2" t="s">
        <v>36</v>
      </c>
      <c r="S2" s="2" t="s">
        <v>36</v>
      </c>
      <c r="T2" s="2">
        <v>16974075315</v>
      </c>
      <c r="U2" s="2" t="s">
        <v>37</v>
      </c>
      <c r="V2" s="2" t="s">
        <v>38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40</v>
      </c>
      <c r="AE2" s="3" t="s">
        <v>41</v>
      </c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x14ac:dyDescent="0.2">
      <c r="A3" s="1">
        <v>45478.770682870374</v>
      </c>
      <c r="B3" s="2" t="s">
        <v>42</v>
      </c>
      <c r="C3" s="2">
        <v>43</v>
      </c>
      <c r="D3" s="2" t="s">
        <v>32</v>
      </c>
      <c r="E3" s="2" t="s">
        <v>33</v>
      </c>
      <c r="F3" s="2">
        <v>0</v>
      </c>
      <c r="G3" s="2">
        <v>79.45</v>
      </c>
      <c r="H3" s="2">
        <v>41</v>
      </c>
      <c r="I3" s="2">
        <v>51.604782880000002</v>
      </c>
      <c r="J3" s="2" t="s">
        <v>34</v>
      </c>
      <c r="K3" s="2">
        <v>5</v>
      </c>
      <c r="L3" s="2" t="s">
        <v>35</v>
      </c>
      <c r="M3" s="2"/>
      <c r="N3" s="2"/>
      <c r="O3" s="2"/>
      <c r="P3" s="2" t="s">
        <v>33</v>
      </c>
      <c r="Q3" s="2" t="s">
        <v>43</v>
      </c>
      <c r="R3" s="2" t="s">
        <v>44</v>
      </c>
      <c r="S3" s="2" t="s">
        <v>44</v>
      </c>
      <c r="T3" s="2">
        <v>16992621843</v>
      </c>
      <c r="U3" s="2" t="s">
        <v>45</v>
      </c>
      <c r="V3" s="2" t="s">
        <v>46</v>
      </c>
      <c r="W3" s="2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40</v>
      </c>
      <c r="AE3" s="3" t="s">
        <v>47</v>
      </c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x14ac:dyDescent="0.2">
      <c r="A4" s="1">
        <v>45478.79246527778</v>
      </c>
      <c r="B4" s="2" t="s">
        <v>48</v>
      </c>
      <c r="C4" s="2">
        <v>31</v>
      </c>
      <c r="D4" s="2" t="s">
        <v>32</v>
      </c>
      <c r="E4" s="2" t="s">
        <v>33</v>
      </c>
      <c r="F4" s="2">
        <v>0</v>
      </c>
      <c r="G4" s="2">
        <v>93.55</v>
      </c>
      <c r="H4" s="2">
        <v>33</v>
      </c>
      <c r="I4" s="2">
        <v>35.27525387</v>
      </c>
      <c r="J4" s="2" t="s">
        <v>49</v>
      </c>
      <c r="K4" s="2">
        <v>5</v>
      </c>
      <c r="L4" s="2" t="s">
        <v>35</v>
      </c>
      <c r="M4" s="2"/>
      <c r="N4" s="2"/>
      <c r="O4" s="2"/>
      <c r="P4" s="2" t="s">
        <v>35</v>
      </c>
      <c r="Q4" s="2"/>
      <c r="R4" s="2" t="s">
        <v>50</v>
      </c>
      <c r="S4" s="2" t="s">
        <v>50</v>
      </c>
      <c r="T4" s="2">
        <v>16993501111</v>
      </c>
      <c r="U4" s="2">
        <v>16991846001</v>
      </c>
      <c r="V4" s="2" t="s">
        <v>51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40</v>
      </c>
      <c r="AE4" s="3" t="s">
        <v>52</v>
      </c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x14ac:dyDescent="0.2">
      <c r="A5" s="1">
        <v>45478.796712962961</v>
      </c>
      <c r="B5" s="2" t="s">
        <v>53</v>
      </c>
      <c r="C5" s="2">
        <v>26</v>
      </c>
      <c r="D5" s="2" t="s">
        <v>54</v>
      </c>
      <c r="E5" s="2" t="s">
        <v>33</v>
      </c>
      <c r="F5" s="2">
        <v>8</v>
      </c>
      <c r="G5" s="2">
        <v>74.900000000000006</v>
      </c>
      <c r="H5" s="2">
        <v>60</v>
      </c>
      <c r="I5" s="2">
        <v>80.106809080000005</v>
      </c>
      <c r="J5" s="2" t="s">
        <v>55</v>
      </c>
      <c r="K5" s="2">
        <v>4</v>
      </c>
      <c r="L5" s="2" t="s">
        <v>33</v>
      </c>
      <c r="M5" s="2" t="s">
        <v>56</v>
      </c>
      <c r="N5" s="2" t="s">
        <v>57</v>
      </c>
      <c r="O5" s="2">
        <v>5</v>
      </c>
      <c r="P5" s="2" t="s">
        <v>35</v>
      </c>
      <c r="Q5" s="2"/>
      <c r="R5" s="2" t="s">
        <v>58</v>
      </c>
      <c r="S5" s="2" t="s">
        <v>58</v>
      </c>
      <c r="T5" s="2">
        <v>16991496293</v>
      </c>
      <c r="U5" s="2" t="s">
        <v>59</v>
      </c>
      <c r="V5" s="2" t="s">
        <v>60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40</v>
      </c>
      <c r="AE5" s="3" t="s">
        <v>61</v>
      </c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2.75" x14ac:dyDescent="0.2">
      <c r="A6" s="1">
        <v>45478.830671296295</v>
      </c>
      <c r="B6" s="2" t="s">
        <v>62</v>
      </c>
      <c r="C6" s="2">
        <v>35</v>
      </c>
      <c r="D6" s="2" t="s">
        <v>54</v>
      </c>
      <c r="E6" s="2" t="s">
        <v>33</v>
      </c>
      <c r="F6" s="2">
        <v>12</v>
      </c>
      <c r="G6" s="2">
        <v>73.2</v>
      </c>
      <c r="H6" s="2">
        <v>56</v>
      </c>
      <c r="I6" s="2">
        <v>76.50273224</v>
      </c>
      <c r="J6" s="2" t="s">
        <v>63</v>
      </c>
      <c r="K6" s="2">
        <v>5</v>
      </c>
      <c r="L6" s="2" t="s">
        <v>33</v>
      </c>
      <c r="M6" s="2" t="s">
        <v>64</v>
      </c>
      <c r="N6" s="2" t="s">
        <v>63</v>
      </c>
      <c r="O6" s="2">
        <v>5</v>
      </c>
      <c r="P6" s="2" t="s">
        <v>35</v>
      </c>
      <c r="Q6" s="2"/>
      <c r="R6" s="2" t="s">
        <v>65</v>
      </c>
      <c r="S6" s="2" t="s">
        <v>65</v>
      </c>
      <c r="T6" s="2">
        <v>16981184639</v>
      </c>
      <c r="U6" s="2">
        <v>34988255398</v>
      </c>
      <c r="V6" s="2" t="s">
        <v>66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40</v>
      </c>
      <c r="AE6" s="3" t="s">
        <v>67</v>
      </c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x14ac:dyDescent="0.2">
      <c r="A7" s="1">
        <v>45478.847592592596</v>
      </c>
      <c r="B7" s="2" t="s">
        <v>68</v>
      </c>
      <c r="C7" s="2">
        <v>40</v>
      </c>
      <c r="D7" s="2" t="s">
        <v>54</v>
      </c>
      <c r="E7" s="2" t="s">
        <v>33</v>
      </c>
      <c r="F7" s="2">
        <v>0</v>
      </c>
      <c r="G7" s="2">
        <v>114.25</v>
      </c>
      <c r="H7" s="2">
        <v>48</v>
      </c>
      <c r="I7" s="2">
        <v>42.0131291</v>
      </c>
      <c r="J7" s="2" t="s">
        <v>69</v>
      </c>
      <c r="K7" s="2">
        <v>3</v>
      </c>
      <c r="L7" s="2" t="s">
        <v>35</v>
      </c>
      <c r="M7" s="2"/>
      <c r="N7" s="2"/>
      <c r="O7" s="2"/>
      <c r="P7" s="2" t="s">
        <v>33</v>
      </c>
      <c r="Q7" s="2" t="s">
        <v>70</v>
      </c>
      <c r="R7" s="2" t="s">
        <v>71</v>
      </c>
      <c r="S7" s="2" t="s">
        <v>71</v>
      </c>
      <c r="T7" s="2">
        <v>1699127786</v>
      </c>
      <c r="U7" s="2" t="s">
        <v>72</v>
      </c>
      <c r="V7" s="2" t="s">
        <v>73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40</v>
      </c>
      <c r="AB7" s="2" t="s">
        <v>39</v>
      </c>
      <c r="AC7" s="2" t="s">
        <v>39</v>
      </c>
      <c r="AD7" s="2" t="s">
        <v>40</v>
      </c>
      <c r="AE7" s="3" t="s">
        <v>74</v>
      </c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2.75" x14ac:dyDescent="0.2">
      <c r="A8" s="1">
        <v>45478.881967592592</v>
      </c>
      <c r="B8" s="2" t="s">
        <v>75</v>
      </c>
      <c r="C8" s="2">
        <v>28</v>
      </c>
      <c r="D8" s="2" t="s">
        <v>32</v>
      </c>
      <c r="E8" s="2" t="s">
        <v>33</v>
      </c>
      <c r="F8" s="2">
        <v>0</v>
      </c>
      <c r="G8" s="2">
        <v>62.4</v>
      </c>
      <c r="H8" s="2">
        <v>26</v>
      </c>
      <c r="I8" s="2">
        <v>41.666666669999998</v>
      </c>
      <c r="J8" s="2" t="s">
        <v>55</v>
      </c>
      <c r="K8" s="2">
        <v>3</v>
      </c>
      <c r="L8" s="2" t="s">
        <v>33</v>
      </c>
      <c r="M8" s="2" t="s">
        <v>56</v>
      </c>
      <c r="N8" s="2" t="s">
        <v>76</v>
      </c>
      <c r="O8" s="2">
        <v>3</v>
      </c>
      <c r="P8" s="2" t="s">
        <v>35</v>
      </c>
      <c r="Q8" s="2"/>
      <c r="R8" s="2" t="s">
        <v>77</v>
      </c>
      <c r="S8" s="2" t="s">
        <v>77</v>
      </c>
      <c r="T8" s="2">
        <v>11971886009</v>
      </c>
      <c r="U8" s="2">
        <v>11982727488</v>
      </c>
      <c r="V8" s="2" t="s">
        <v>78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40</v>
      </c>
      <c r="AE8" s="3" t="s">
        <v>79</v>
      </c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2.75" x14ac:dyDescent="0.2">
      <c r="A9" s="1">
        <v>45478.884502314817</v>
      </c>
      <c r="B9" s="2" t="s">
        <v>80</v>
      </c>
      <c r="C9" s="2">
        <v>28</v>
      </c>
      <c r="D9" s="2" t="s">
        <v>54</v>
      </c>
      <c r="E9" s="2" t="s">
        <v>33</v>
      </c>
      <c r="F9" s="2">
        <v>4</v>
      </c>
      <c r="G9" s="2">
        <v>81.5</v>
      </c>
      <c r="H9" s="2">
        <v>54</v>
      </c>
      <c r="I9" s="2">
        <v>66.257668710000004</v>
      </c>
      <c r="J9" s="2" t="s">
        <v>34</v>
      </c>
      <c r="K9" s="2">
        <v>6</v>
      </c>
      <c r="L9" s="2" t="s">
        <v>35</v>
      </c>
      <c r="M9" s="2"/>
      <c r="N9" s="2"/>
      <c r="O9" s="2"/>
      <c r="P9" s="2"/>
      <c r="Q9" s="2"/>
      <c r="R9" s="2" t="s">
        <v>81</v>
      </c>
      <c r="S9" s="2" t="s">
        <v>81</v>
      </c>
      <c r="T9" s="2">
        <v>16992686979</v>
      </c>
      <c r="U9" s="2" t="s">
        <v>82</v>
      </c>
      <c r="V9" s="2" t="s">
        <v>83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40</v>
      </c>
      <c r="AE9" s="3" t="s">
        <v>84</v>
      </c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2.75" x14ac:dyDescent="0.2">
      <c r="A10" s="1">
        <v>45478.93440972222</v>
      </c>
      <c r="B10" s="2" t="s">
        <v>85</v>
      </c>
      <c r="C10" s="2">
        <v>35</v>
      </c>
      <c r="D10" s="2" t="s">
        <v>54</v>
      </c>
      <c r="E10" s="2" t="s">
        <v>33</v>
      </c>
      <c r="F10" s="2">
        <v>6</v>
      </c>
      <c r="G10" s="2">
        <v>84.2</v>
      </c>
      <c r="H10" s="2">
        <v>76</v>
      </c>
      <c r="I10" s="2">
        <v>90.261282660000006</v>
      </c>
      <c r="J10" s="2" t="s">
        <v>49</v>
      </c>
      <c r="K10" s="2">
        <v>4</v>
      </c>
      <c r="L10" s="2" t="s">
        <v>33</v>
      </c>
      <c r="M10" s="2" t="s">
        <v>56</v>
      </c>
      <c r="N10" s="2" t="s">
        <v>57</v>
      </c>
      <c r="O10" s="2">
        <v>3</v>
      </c>
      <c r="P10" s="2" t="s">
        <v>33</v>
      </c>
      <c r="Q10" s="2" t="s">
        <v>86</v>
      </c>
      <c r="R10" s="2" t="s">
        <v>87</v>
      </c>
      <c r="S10" s="2" t="s">
        <v>87</v>
      </c>
      <c r="T10" s="2">
        <v>16982619925</v>
      </c>
      <c r="U10" s="2">
        <v>16991392414</v>
      </c>
      <c r="V10" s="2" t="s">
        <v>88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40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2.75" x14ac:dyDescent="0.2">
      <c r="A11" s="1">
        <v>45479.338090277779</v>
      </c>
      <c r="B11" s="2" t="s">
        <v>89</v>
      </c>
      <c r="C11" s="2">
        <v>33</v>
      </c>
      <c r="D11" s="2" t="s">
        <v>54</v>
      </c>
      <c r="E11" s="2" t="s">
        <v>33</v>
      </c>
      <c r="F11" s="2">
        <v>14</v>
      </c>
      <c r="G11" s="2">
        <v>74.900000000000006</v>
      </c>
      <c r="H11" s="2">
        <v>60</v>
      </c>
      <c r="I11" s="2">
        <v>80.106809080000005</v>
      </c>
      <c r="J11" s="2" t="s">
        <v>49</v>
      </c>
      <c r="K11" s="2">
        <v>3</v>
      </c>
      <c r="L11" s="2" t="s">
        <v>33</v>
      </c>
      <c r="M11" s="2" t="s">
        <v>56</v>
      </c>
      <c r="N11" s="2" t="s">
        <v>90</v>
      </c>
      <c r="O11" s="2">
        <v>8</v>
      </c>
      <c r="P11" s="2" t="s">
        <v>33</v>
      </c>
      <c r="Q11" s="2" t="s">
        <v>91</v>
      </c>
      <c r="R11" s="2" t="s">
        <v>92</v>
      </c>
      <c r="S11" s="2" t="s">
        <v>92</v>
      </c>
      <c r="T11" s="2">
        <v>13988731017</v>
      </c>
      <c r="U11" s="2">
        <v>16997934978</v>
      </c>
      <c r="V11" s="2" t="s">
        <v>93</v>
      </c>
      <c r="W11" s="2" t="s">
        <v>39</v>
      </c>
      <c r="X11" s="2" t="s">
        <v>39</v>
      </c>
      <c r="Y11" s="2" t="s">
        <v>39</v>
      </c>
      <c r="Z11" s="2" t="s">
        <v>40</v>
      </c>
      <c r="AA11" s="2" t="s">
        <v>39</v>
      </c>
      <c r="AB11" s="2" t="s">
        <v>39</v>
      </c>
      <c r="AC11" s="2" t="s">
        <v>39</v>
      </c>
      <c r="AD11" s="2" t="s">
        <v>40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2.75" x14ac:dyDescent="0.2">
      <c r="A12" s="1">
        <v>45479.554039351853</v>
      </c>
      <c r="B12" s="2" t="s">
        <v>94</v>
      </c>
      <c r="C12" s="2">
        <v>23</v>
      </c>
      <c r="D12" s="2" t="s">
        <v>32</v>
      </c>
      <c r="E12" s="2" t="s">
        <v>35</v>
      </c>
      <c r="F12" s="2">
        <v>0</v>
      </c>
      <c r="G12" s="2">
        <v>61.75</v>
      </c>
      <c r="H12" s="2">
        <v>24</v>
      </c>
      <c r="I12" s="2">
        <v>38.866396760000001</v>
      </c>
      <c r="J12" s="2" t="s">
        <v>90</v>
      </c>
      <c r="K12" s="2">
        <v>3</v>
      </c>
      <c r="L12" s="2" t="s">
        <v>33</v>
      </c>
      <c r="M12" s="2" t="s">
        <v>56</v>
      </c>
      <c r="N12" s="2" t="s">
        <v>76</v>
      </c>
      <c r="O12" s="2">
        <v>3</v>
      </c>
      <c r="P12" s="2" t="s">
        <v>35</v>
      </c>
      <c r="Q12" s="2"/>
      <c r="R12" s="2" t="s">
        <v>95</v>
      </c>
      <c r="S12" s="2" t="s">
        <v>95</v>
      </c>
      <c r="T12" s="2">
        <v>16981252013</v>
      </c>
      <c r="U12" s="2">
        <v>16982471212</v>
      </c>
      <c r="V12" s="2" t="s">
        <v>96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40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2.75" x14ac:dyDescent="0.2">
      <c r="A13" s="1">
        <v>45479.875277777777</v>
      </c>
      <c r="B13" s="2" t="s">
        <v>97</v>
      </c>
      <c r="C13" s="2">
        <v>35</v>
      </c>
      <c r="D13" s="2" t="s">
        <v>32</v>
      </c>
      <c r="E13" s="2" t="s">
        <v>33</v>
      </c>
      <c r="F13" s="2">
        <v>0</v>
      </c>
      <c r="G13" s="2">
        <v>97.55</v>
      </c>
      <c r="H13" s="2">
        <v>46</v>
      </c>
      <c r="I13" s="2">
        <v>47.155304970000003</v>
      </c>
      <c r="J13" s="2" t="s">
        <v>49</v>
      </c>
      <c r="K13" s="2">
        <v>5</v>
      </c>
      <c r="L13" s="2" t="s">
        <v>33</v>
      </c>
      <c r="M13" s="2" t="s">
        <v>64</v>
      </c>
      <c r="N13" s="2" t="s">
        <v>98</v>
      </c>
      <c r="O13" s="2">
        <v>4</v>
      </c>
      <c r="P13" s="2" t="s">
        <v>33</v>
      </c>
      <c r="Q13" s="2" t="s">
        <v>99</v>
      </c>
      <c r="R13" s="2" t="s">
        <v>100</v>
      </c>
      <c r="S13" s="2" t="s">
        <v>101</v>
      </c>
      <c r="T13" s="2">
        <v>16993955695</v>
      </c>
      <c r="U13" s="2">
        <v>16982136213</v>
      </c>
      <c r="V13" s="2" t="s">
        <v>102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40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2.75" x14ac:dyDescent="0.2">
      <c r="A14" s="1">
        <v>45479.907442129632</v>
      </c>
      <c r="B14" s="2" t="s">
        <v>103</v>
      </c>
      <c r="C14" s="2">
        <v>31</v>
      </c>
      <c r="D14" s="2" t="s">
        <v>54</v>
      </c>
      <c r="E14" s="2" t="s">
        <v>33</v>
      </c>
      <c r="F14" s="2">
        <v>1</v>
      </c>
      <c r="G14" s="2">
        <v>77.349999999999994</v>
      </c>
      <c r="H14" s="2">
        <v>46</v>
      </c>
      <c r="I14" s="2">
        <v>59.469941820000003</v>
      </c>
      <c r="J14" s="2" t="s">
        <v>104</v>
      </c>
      <c r="K14" s="2">
        <v>4</v>
      </c>
      <c r="L14" s="2" t="s">
        <v>35</v>
      </c>
      <c r="M14" s="2"/>
      <c r="N14" s="2"/>
      <c r="O14" s="2"/>
      <c r="P14" s="2" t="s">
        <v>35</v>
      </c>
      <c r="Q14" s="2"/>
      <c r="R14" s="2" t="s">
        <v>105</v>
      </c>
      <c r="S14" s="2" t="s">
        <v>105</v>
      </c>
      <c r="T14" s="2">
        <v>14997063292</v>
      </c>
      <c r="U14" s="2">
        <v>16997982905</v>
      </c>
      <c r="V14" s="2" t="s">
        <v>106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40</v>
      </c>
      <c r="AE14" s="3" t="s">
        <v>107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2.75" x14ac:dyDescent="0.2">
      <c r="A15" s="1">
        <v>45480.482407407406</v>
      </c>
      <c r="B15" s="2" t="s">
        <v>108</v>
      </c>
      <c r="C15" s="2">
        <v>37</v>
      </c>
      <c r="D15" s="2" t="s">
        <v>32</v>
      </c>
      <c r="E15" s="2" t="s">
        <v>33</v>
      </c>
      <c r="F15" s="2">
        <v>0</v>
      </c>
      <c r="G15" s="2">
        <v>70.099999999999994</v>
      </c>
      <c r="H15" s="2">
        <v>37</v>
      </c>
      <c r="I15" s="2">
        <v>52.781740370000001</v>
      </c>
      <c r="J15" s="2" t="s">
        <v>49</v>
      </c>
      <c r="K15" s="2">
        <v>3</v>
      </c>
      <c r="L15" s="2" t="s">
        <v>35</v>
      </c>
      <c r="M15" s="2"/>
      <c r="N15" s="2"/>
      <c r="O15" s="2"/>
      <c r="P15" s="2" t="s">
        <v>35</v>
      </c>
      <c r="Q15" s="2"/>
      <c r="R15" s="2" t="s">
        <v>109</v>
      </c>
      <c r="S15" s="2" t="s">
        <v>109</v>
      </c>
      <c r="T15" s="2">
        <v>16988172848</v>
      </c>
      <c r="U15" s="2">
        <v>16988143438</v>
      </c>
      <c r="V15" s="2" t="s">
        <v>110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40</v>
      </c>
      <c r="AE15" s="3" t="s">
        <v>111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2.75" x14ac:dyDescent="0.2">
      <c r="A16" s="1">
        <v>45480.847094907411</v>
      </c>
      <c r="B16" s="2" t="s">
        <v>112</v>
      </c>
      <c r="C16" s="2">
        <v>33</v>
      </c>
      <c r="D16" s="2" t="s">
        <v>32</v>
      </c>
      <c r="E16" s="2" t="s">
        <v>33</v>
      </c>
      <c r="F16" s="2">
        <v>0</v>
      </c>
      <c r="G16" s="2">
        <v>66.849999999999994</v>
      </c>
      <c r="H16" s="2">
        <v>32</v>
      </c>
      <c r="I16" s="2">
        <v>47.868361999999998</v>
      </c>
      <c r="J16" s="2" t="s">
        <v>55</v>
      </c>
      <c r="K16" s="2">
        <v>2</v>
      </c>
      <c r="L16" s="2" t="s">
        <v>33</v>
      </c>
      <c r="M16" s="2" t="s">
        <v>113</v>
      </c>
      <c r="N16" s="2" t="s">
        <v>114</v>
      </c>
      <c r="O16" s="2">
        <v>1</v>
      </c>
      <c r="P16" s="2" t="s">
        <v>35</v>
      </c>
      <c r="Q16" s="2"/>
      <c r="R16" s="2" t="s">
        <v>115</v>
      </c>
      <c r="S16" s="2" t="s">
        <v>115</v>
      </c>
      <c r="T16" s="2">
        <v>16997147670</v>
      </c>
      <c r="U16" s="2">
        <v>16981644768</v>
      </c>
      <c r="V16" s="2" t="s">
        <v>116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40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2.75" x14ac:dyDescent="0.2">
      <c r="A17" s="1">
        <v>45480.898472222223</v>
      </c>
      <c r="B17" s="2" t="s">
        <v>117</v>
      </c>
      <c r="C17" s="2">
        <v>39</v>
      </c>
      <c r="D17" s="2" t="s">
        <v>54</v>
      </c>
      <c r="E17" s="2" t="s">
        <v>33</v>
      </c>
      <c r="F17" s="2">
        <v>9</v>
      </c>
      <c r="G17" s="2">
        <v>68.2</v>
      </c>
      <c r="H17" s="2">
        <v>58</v>
      </c>
      <c r="I17" s="2">
        <v>85.04398827</v>
      </c>
      <c r="J17" s="2" t="s">
        <v>90</v>
      </c>
      <c r="K17" s="2">
        <v>5</v>
      </c>
      <c r="L17" s="2" t="s">
        <v>33</v>
      </c>
      <c r="M17" s="2" t="s">
        <v>118</v>
      </c>
      <c r="N17" s="2"/>
      <c r="O17" s="2">
        <v>3</v>
      </c>
      <c r="P17" s="2" t="s">
        <v>35</v>
      </c>
      <c r="Q17" s="2"/>
      <c r="R17" s="2" t="s">
        <v>119</v>
      </c>
      <c r="S17" s="2" t="s">
        <v>120</v>
      </c>
      <c r="T17" s="2">
        <v>16982136213</v>
      </c>
      <c r="U17" s="2">
        <v>16992955695</v>
      </c>
      <c r="V17" s="2" t="s">
        <v>121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40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2.75" x14ac:dyDescent="0.2">
      <c r="A18" s="1">
        <v>45481.297615740739</v>
      </c>
      <c r="B18" s="2" t="s">
        <v>122</v>
      </c>
      <c r="C18" s="2">
        <v>28</v>
      </c>
      <c r="D18" s="2" t="s">
        <v>54</v>
      </c>
      <c r="E18" s="2" t="s">
        <v>33</v>
      </c>
      <c r="F18" s="2">
        <v>20</v>
      </c>
      <c r="G18" s="2">
        <v>81.8</v>
      </c>
      <c r="H18" s="2">
        <v>75</v>
      </c>
      <c r="I18" s="2">
        <v>91.687041559999997</v>
      </c>
      <c r="J18" s="2" t="s">
        <v>123</v>
      </c>
      <c r="K18" s="2">
        <v>6</v>
      </c>
      <c r="L18" s="2" t="s">
        <v>33</v>
      </c>
      <c r="M18" s="2" t="s">
        <v>124</v>
      </c>
      <c r="N18" s="27" t="s">
        <v>243</v>
      </c>
      <c r="O18" s="2">
        <v>6</v>
      </c>
      <c r="P18" s="2"/>
      <c r="Q18" s="2"/>
      <c r="R18" s="2" t="s">
        <v>125</v>
      </c>
      <c r="S18" s="2" t="s">
        <v>125</v>
      </c>
      <c r="T18" s="2">
        <v>16981926230</v>
      </c>
      <c r="U18" s="2">
        <v>16981926230</v>
      </c>
      <c r="V18" s="2" t="s">
        <v>126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40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2.75" x14ac:dyDescent="0.2">
      <c r="A19" s="1">
        <v>45481.372916666667</v>
      </c>
      <c r="B19" s="2" t="s">
        <v>127</v>
      </c>
      <c r="C19" s="2">
        <v>38</v>
      </c>
      <c r="D19" s="2" t="s">
        <v>32</v>
      </c>
      <c r="E19" s="2" t="s">
        <v>33</v>
      </c>
      <c r="F19" s="2">
        <v>8</v>
      </c>
      <c r="G19" s="2">
        <v>69.099999999999994</v>
      </c>
      <c r="H19" s="2">
        <v>40</v>
      </c>
      <c r="I19" s="2">
        <v>57.887120119999999</v>
      </c>
      <c r="J19" s="2" t="s">
        <v>49</v>
      </c>
      <c r="K19" s="2">
        <v>4</v>
      </c>
      <c r="L19" s="2" t="s">
        <v>33</v>
      </c>
      <c r="M19" s="2" t="s">
        <v>128</v>
      </c>
      <c r="N19" s="2"/>
      <c r="O19" s="2">
        <v>3.5</v>
      </c>
      <c r="P19" s="2" t="s">
        <v>33</v>
      </c>
      <c r="Q19" s="2" t="s">
        <v>129</v>
      </c>
      <c r="R19" s="2" t="s">
        <v>130</v>
      </c>
      <c r="S19" s="2" t="s">
        <v>131</v>
      </c>
      <c r="T19" s="2">
        <v>16981586852</v>
      </c>
      <c r="U19" s="2">
        <v>16997911232</v>
      </c>
      <c r="V19" s="2" t="s">
        <v>132</v>
      </c>
      <c r="W19" s="2" t="s">
        <v>39</v>
      </c>
      <c r="X19" s="2" t="s">
        <v>39</v>
      </c>
      <c r="Y19" s="2" t="s">
        <v>39</v>
      </c>
      <c r="Z19" s="2" t="s">
        <v>40</v>
      </c>
      <c r="AA19" s="2" t="s">
        <v>39</v>
      </c>
      <c r="AB19" s="2" t="s">
        <v>39</v>
      </c>
      <c r="AC19" s="2" t="s">
        <v>39</v>
      </c>
      <c r="AD19" s="2" t="s">
        <v>40</v>
      </c>
      <c r="AE19" s="3" t="s">
        <v>133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2.75" x14ac:dyDescent="0.2">
      <c r="A20" s="1">
        <v>45481.71298611111</v>
      </c>
      <c r="B20" s="2" t="s">
        <v>134</v>
      </c>
      <c r="C20" s="2">
        <v>45</v>
      </c>
      <c r="D20" s="2" t="s">
        <v>54</v>
      </c>
      <c r="E20" s="2" t="s">
        <v>33</v>
      </c>
      <c r="F20" s="2">
        <v>15</v>
      </c>
      <c r="G20" s="2">
        <v>82.15</v>
      </c>
      <c r="H20" s="2">
        <v>70</v>
      </c>
      <c r="I20" s="2">
        <v>85.209981740000003</v>
      </c>
      <c r="J20" s="2" t="s">
        <v>123</v>
      </c>
      <c r="K20" s="2">
        <v>5</v>
      </c>
      <c r="L20" s="2" t="s">
        <v>33</v>
      </c>
      <c r="M20" s="2" t="s">
        <v>135</v>
      </c>
      <c r="N20" s="2"/>
      <c r="O20" s="2">
        <v>4</v>
      </c>
      <c r="P20" s="2" t="s">
        <v>33</v>
      </c>
      <c r="Q20" s="2" t="s">
        <v>136</v>
      </c>
      <c r="R20" s="2" t="s">
        <v>137</v>
      </c>
      <c r="S20" s="2" t="s">
        <v>137</v>
      </c>
      <c r="T20" s="2">
        <v>16991404475</v>
      </c>
      <c r="U20" s="2">
        <v>16992010876</v>
      </c>
      <c r="V20" s="2" t="s">
        <v>138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40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2.75" x14ac:dyDescent="0.2">
      <c r="A21" s="1">
        <v>45481.71675925926</v>
      </c>
      <c r="B21" s="2" t="s">
        <v>139</v>
      </c>
      <c r="C21" s="2">
        <v>43</v>
      </c>
      <c r="D21" s="2" t="s">
        <v>32</v>
      </c>
      <c r="E21" s="2" t="s">
        <v>33</v>
      </c>
      <c r="F21" s="2">
        <v>0</v>
      </c>
      <c r="G21" s="2">
        <v>62.25</v>
      </c>
      <c r="H21" s="2">
        <v>35</v>
      </c>
      <c r="I21" s="2">
        <v>56.224899600000001</v>
      </c>
      <c r="J21" s="2" t="s">
        <v>123</v>
      </c>
      <c r="K21" s="2">
        <v>5</v>
      </c>
      <c r="L21" s="2" t="s">
        <v>33</v>
      </c>
      <c r="M21" s="2" t="s">
        <v>140</v>
      </c>
      <c r="N21" s="2" t="s">
        <v>63</v>
      </c>
      <c r="O21" s="2">
        <v>5</v>
      </c>
      <c r="P21" s="2" t="s">
        <v>33</v>
      </c>
      <c r="Q21" s="2" t="s">
        <v>141</v>
      </c>
      <c r="R21" s="2" t="s">
        <v>142</v>
      </c>
      <c r="S21" s="2" t="s">
        <v>142</v>
      </c>
      <c r="T21" s="2">
        <v>16991991655</v>
      </c>
      <c r="U21" s="2">
        <v>16991991655</v>
      </c>
      <c r="V21" s="2" t="s">
        <v>143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40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2.75" x14ac:dyDescent="0.2">
      <c r="A22" s="1">
        <v>45481.741724537038</v>
      </c>
      <c r="B22" s="2" t="s">
        <v>144</v>
      </c>
      <c r="C22" s="2">
        <v>37</v>
      </c>
      <c r="D22" s="2" t="s">
        <v>54</v>
      </c>
      <c r="E22" s="2" t="s">
        <v>33</v>
      </c>
      <c r="F22" s="2">
        <v>10</v>
      </c>
      <c r="G22" s="2">
        <v>65.099999999999994</v>
      </c>
      <c r="H22" s="2">
        <v>50</v>
      </c>
      <c r="I22" s="2">
        <v>76.804915510000001</v>
      </c>
      <c r="J22" s="2" t="s">
        <v>63</v>
      </c>
      <c r="K22" s="2">
        <v>5</v>
      </c>
      <c r="L22" s="2" t="s">
        <v>33</v>
      </c>
      <c r="M22" s="2" t="s">
        <v>64</v>
      </c>
      <c r="N22" s="2"/>
      <c r="O22" s="2">
        <v>1.5</v>
      </c>
      <c r="P22" s="2" t="s">
        <v>35</v>
      </c>
      <c r="Q22" s="2"/>
      <c r="R22" s="2" t="s">
        <v>145</v>
      </c>
      <c r="S22" s="2" t="s">
        <v>145</v>
      </c>
      <c r="T22" s="2">
        <v>982581015</v>
      </c>
      <c r="U22" s="2">
        <v>16991984282</v>
      </c>
      <c r="V22" s="2" t="s">
        <v>146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40</v>
      </c>
      <c r="AE22" s="3" t="s">
        <v>147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2.75" x14ac:dyDescent="0.2">
      <c r="A23" s="1">
        <v>45481.773888888885</v>
      </c>
      <c r="B23" s="2" t="s">
        <v>148</v>
      </c>
      <c r="C23" s="2">
        <v>26</v>
      </c>
      <c r="D23" s="2" t="s">
        <v>54</v>
      </c>
      <c r="E23" s="2" t="s">
        <v>33</v>
      </c>
      <c r="F23" s="2">
        <v>12</v>
      </c>
      <c r="G23" s="2">
        <v>69.150000000000006</v>
      </c>
      <c r="H23" s="2">
        <v>54</v>
      </c>
      <c r="I23" s="2">
        <v>78.091106289999999</v>
      </c>
      <c r="J23" s="2" t="s">
        <v>123</v>
      </c>
      <c r="K23" s="2">
        <v>0</v>
      </c>
      <c r="L23" s="2" t="s">
        <v>33</v>
      </c>
      <c r="M23" s="2" t="s">
        <v>149</v>
      </c>
      <c r="N23" s="2" t="s">
        <v>150</v>
      </c>
      <c r="O23" s="2">
        <v>6</v>
      </c>
      <c r="P23" s="2" t="s">
        <v>35</v>
      </c>
      <c r="Q23" s="2"/>
      <c r="R23" s="2" t="s">
        <v>151</v>
      </c>
      <c r="S23" s="2" t="s">
        <v>152</v>
      </c>
      <c r="T23" s="2">
        <v>16997613571</v>
      </c>
      <c r="U23" s="2">
        <v>16996227880</v>
      </c>
      <c r="V23" s="2" t="s">
        <v>153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40</v>
      </c>
      <c r="AE23" s="3" t="s">
        <v>154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2.75" x14ac:dyDescent="0.2">
      <c r="A24" s="1">
        <v>45482.798460648148</v>
      </c>
      <c r="B24" s="2" t="s">
        <v>155</v>
      </c>
      <c r="C24" s="2">
        <v>39</v>
      </c>
      <c r="D24" s="2" t="s">
        <v>54</v>
      </c>
      <c r="E24" s="2" t="s">
        <v>33</v>
      </c>
      <c r="F24" s="2">
        <v>10</v>
      </c>
      <c r="G24" s="2">
        <v>69.45</v>
      </c>
      <c r="H24" s="2">
        <v>52</v>
      </c>
      <c r="I24" s="2">
        <v>74.874010080000005</v>
      </c>
      <c r="J24" s="2" t="s">
        <v>123</v>
      </c>
      <c r="K24" s="2">
        <v>5</v>
      </c>
      <c r="L24" s="2" t="s">
        <v>33</v>
      </c>
      <c r="M24" s="2" t="s">
        <v>156</v>
      </c>
      <c r="N24" s="2"/>
      <c r="O24" s="2">
        <v>1</v>
      </c>
      <c r="P24" s="2" t="s">
        <v>35</v>
      </c>
      <c r="Q24" s="2"/>
      <c r="R24" s="2" t="s">
        <v>157</v>
      </c>
      <c r="S24" s="2" t="s">
        <v>157</v>
      </c>
      <c r="T24" s="2">
        <v>991984282</v>
      </c>
      <c r="U24" s="2">
        <v>16981925320</v>
      </c>
      <c r="V24" s="2" t="s">
        <v>158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40</v>
      </c>
      <c r="AE24" s="3" t="s">
        <v>159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2.75" x14ac:dyDescent="0.2">
      <c r="A25" s="1">
        <v>45483.43472222222</v>
      </c>
      <c r="B25" s="2" t="s">
        <v>160</v>
      </c>
      <c r="C25" s="2">
        <v>21</v>
      </c>
      <c r="D25" s="2" t="s">
        <v>54</v>
      </c>
      <c r="E25" s="2" t="s">
        <v>33</v>
      </c>
      <c r="F25" s="2">
        <v>19</v>
      </c>
      <c r="G25" s="2">
        <v>60.8</v>
      </c>
      <c r="H25" s="2">
        <v>54</v>
      </c>
      <c r="I25" s="2">
        <v>88.815789469999999</v>
      </c>
      <c r="J25" s="2" t="s">
        <v>161</v>
      </c>
      <c r="K25" s="2">
        <v>11.5</v>
      </c>
      <c r="L25" s="2" t="s">
        <v>35</v>
      </c>
      <c r="M25" s="2" t="s">
        <v>162</v>
      </c>
      <c r="N25" s="27" t="s">
        <v>608</v>
      </c>
      <c r="O25" s="2"/>
      <c r="P25" s="2" t="s">
        <v>35</v>
      </c>
      <c r="Q25" s="2"/>
      <c r="R25" s="2" t="s">
        <v>163</v>
      </c>
      <c r="S25" s="2" t="s">
        <v>163</v>
      </c>
      <c r="T25" s="2">
        <v>994041690</v>
      </c>
      <c r="U25" s="2">
        <v>16994041690</v>
      </c>
      <c r="V25" s="2" t="s">
        <v>164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40</v>
      </c>
      <c r="AE25" s="3" t="s">
        <v>165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2.75" x14ac:dyDescent="0.2">
      <c r="A26" s="1">
        <v>45483.736284722225</v>
      </c>
      <c r="B26" s="2" t="s">
        <v>166</v>
      </c>
      <c r="C26" s="2">
        <v>25</v>
      </c>
      <c r="D26" s="2" t="s">
        <v>32</v>
      </c>
      <c r="E26" s="2" t="s">
        <v>33</v>
      </c>
      <c r="F26" s="2">
        <v>0</v>
      </c>
      <c r="G26" s="2">
        <v>69.7</v>
      </c>
      <c r="H26" s="2">
        <v>31</v>
      </c>
      <c r="I26" s="2">
        <v>44.476327120000001</v>
      </c>
      <c r="J26" s="2" t="s">
        <v>49</v>
      </c>
      <c r="K26" s="2">
        <v>3</v>
      </c>
      <c r="L26" s="2" t="s">
        <v>33</v>
      </c>
      <c r="M26" s="2" t="s">
        <v>167</v>
      </c>
      <c r="N26" s="2" t="s">
        <v>76</v>
      </c>
      <c r="O26" s="2" t="s">
        <v>168</v>
      </c>
      <c r="P26" s="2" t="s">
        <v>35</v>
      </c>
      <c r="Q26" s="2"/>
      <c r="R26" s="2" t="s">
        <v>169</v>
      </c>
      <c r="S26" s="2" t="s">
        <v>169</v>
      </c>
      <c r="T26" s="2">
        <v>994181348</v>
      </c>
      <c r="U26" s="2">
        <v>16992688019</v>
      </c>
      <c r="V26" s="2" t="s">
        <v>170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40</v>
      </c>
      <c r="AE26" s="3" t="s">
        <v>171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2.75" x14ac:dyDescent="0.2">
      <c r="A27" s="1">
        <v>45484.497881944444</v>
      </c>
      <c r="B27" s="2" t="s">
        <v>172</v>
      </c>
      <c r="C27" s="2">
        <v>43</v>
      </c>
      <c r="D27" s="2" t="s">
        <v>54</v>
      </c>
      <c r="E27" s="2" t="s">
        <v>33</v>
      </c>
      <c r="F27" s="2">
        <v>5</v>
      </c>
      <c r="G27" s="2">
        <v>87.6</v>
      </c>
      <c r="H27" s="2">
        <v>70</v>
      </c>
      <c r="I27" s="2">
        <v>79.908675799999997</v>
      </c>
      <c r="J27" s="2" t="s">
        <v>123</v>
      </c>
      <c r="K27" s="2">
        <v>0</v>
      </c>
      <c r="L27" s="2" t="s">
        <v>33</v>
      </c>
      <c r="M27" s="2" t="s">
        <v>173</v>
      </c>
      <c r="N27" s="2" t="s">
        <v>174</v>
      </c>
      <c r="O27" s="2">
        <v>6</v>
      </c>
      <c r="P27" s="2" t="s">
        <v>35</v>
      </c>
      <c r="Q27" s="2"/>
      <c r="R27" s="2" t="s">
        <v>175</v>
      </c>
      <c r="S27" s="2" t="s">
        <v>176</v>
      </c>
      <c r="T27" s="2">
        <v>992028234</v>
      </c>
      <c r="U27" s="2">
        <v>16992028234</v>
      </c>
      <c r="V27" s="2" t="s">
        <v>177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40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2.75" x14ac:dyDescent="0.2">
      <c r="A28" s="1">
        <v>45484.546724537038</v>
      </c>
      <c r="B28" s="2" t="s">
        <v>178</v>
      </c>
      <c r="C28" s="2">
        <v>31</v>
      </c>
      <c r="D28" s="2" t="s">
        <v>54</v>
      </c>
      <c r="E28" s="2" t="s">
        <v>35</v>
      </c>
      <c r="F28" s="2">
        <v>0</v>
      </c>
      <c r="G28" s="2">
        <v>95.45</v>
      </c>
      <c r="H28" s="2">
        <v>23</v>
      </c>
      <c r="I28" s="2">
        <v>24.09638554</v>
      </c>
      <c r="J28" s="2" t="s">
        <v>49</v>
      </c>
      <c r="K28" s="2">
        <v>5</v>
      </c>
      <c r="L28" s="2" t="s">
        <v>35</v>
      </c>
      <c r="M28" s="2"/>
      <c r="N28" s="2"/>
      <c r="O28" s="2"/>
      <c r="P28" s="2" t="s">
        <v>35</v>
      </c>
      <c r="Q28" s="2"/>
      <c r="R28" s="2" t="s">
        <v>179</v>
      </c>
      <c r="S28" s="2" t="s">
        <v>179</v>
      </c>
      <c r="T28" s="2">
        <v>16993943567</v>
      </c>
      <c r="U28" s="2">
        <v>16993943567</v>
      </c>
      <c r="V28" s="2" t="s">
        <v>180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40</v>
      </c>
      <c r="AE28" s="3" t="s">
        <v>181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2.75" x14ac:dyDescent="0.2">
      <c r="A29" s="1">
        <v>45484.550185185188</v>
      </c>
      <c r="B29" s="2" t="s">
        <v>182</v>
      </c>
      <c r="C29" s="2">
        <v>39</v>
      </c>
      <c r="D29" s="2" t="s">
        <v>32</v>
      </c>
      <c r="E29" s="2" t="s">
        <v>33</v>
      </c>
      <c r="F29" s="2">
        <v>0</v>
      </c>
      <c r="G29" s="2">
        <v>72.45</v>
      </c>
      <c r="H29" s="2">
        <v>40</v>
      </c>
      <c r="I29" s="2">
        <v>55.210489989999999</v>
      </c>
      <c r="J29" s="2" t="s">
        <v>90</v>
      </c>
      <c r="K29" s="2">
        <v>5</v>
      </c>
      <c r="L29" s="2" t="s">
        <v>33</v>
      </c>
      <c r="M29" s="2" t="s">
        <v>167</v>
      </c>
      <c r="N29" s="2"/>
      <c r="O29" s="2" t="s">
        <v>183</v>
      </c>
      <c r="P29" s="2" t="s">
        <v>184</v>
      </c>
      <c r="Q29" s="2"/>
      <c r="R29" s="2" t="s">
        <v>185</v>
      </c>
      <c r="S29" s="2" t="s">
        <v>186</v>
      </c>
      <c r="T29" s="2">
        <v>16991033448</v>
      </c>
      <c r="U29" s="2">
        <v>16991565623</v>
      </c>
      <c r="V29" s="2" t="s">
        <v>187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40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2.75" x14ac:dyDescent="0.2">
      <c r="A30" s="1">
        <v>45484.563518518517</v>
      </c>
      <c r="B30" s="2" t="s">
        <v>188</v>
      </c>
      <c r="C30" s="2">
        <v>25</v>
      </c>
      <c r="D30" s="2" t="s">
        <v>54</v>
      </c>
      <c r="E30" s="2" t="s">
        <v>33</v>
      </c>
      <c r="F30" s="2">
        <v>2</v>
      </c>
      <c r="G30" s="2">
        <v>93.1</v>
      </c>
      <c r="H30" s="2">
        <v>56</v>
      </c>
      <c r="I30" s="2">
        <v>60.150375940000004</v>
      </c>
      <c r="J30" s="2" t="s">
        <v>49</v>
      </c>
      <c r="K30" s="2">
        <v>6</v>
      </c>
      <c r="L30" s="2" t="s">
        <v>33</v>
      </c>
      <c r="M30" s="2" t="s">
        <v>189</v>
      </c>
      <c r="N30" s="2"/>
      <c r="O30" s="2">
        <v>5</v>
      </c>
      <c r="P30" s="2" t="s">
        <v>35</v>
      </c>
      <c r="Q30" s="2"/>
      <c r="R30" s="2" t="s">
        <v>190</v>
      </c>
      <c r="S30" s="2" t="s">
        <v>190</v>
      </c>
      <c r="T30" s="2">
        <v>92982525383</v>
      </c>
      <c r="U30" s="2">
        <v>92981370087</v>
      </c>
      <c r="V30" s="2" t="s">
        <v>191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40</v>
      </c>
      <c r="AE30" s="3" t="s">
        <v>192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2.75" x14ac:dyDescent="0.2">
      <c r="A31" s="1">
        <v>45484.637835648151</v>
      </c>
      <c r="B31" s="2" t="s">
        <v>193</v>
      </c>
      <c r="C31" s="2">
        <v>31</v>
      </c>
      <c r="D31" s="2" t="s">
        <v>32</v>
      </c>
      <c r="E31" s="2" t="s">
        <v>33</v>
      </c>
      <c r="F31" s="2">
        <v>0</v>
      </c>
      <c r="G31" s="2">
        <v>66.05</v>
      </c>
      <c r="H31" s="2">
        <v>23</v>
      </c>
      <c r="I31" s="2">
        <v>34.822104469999999</v>
      </c>
      <c r="J31" s="2" t="s">
        <v>55</v>
      </c>
      <c r="K31" s="2">
        <v>1</v>
      </c>
      <c r="L31" s="2" t="s">
        <v>35</v>
      </c>
      <c r="M31" s="2"/>
      <c r="N31" s="2"/>
      <c r="O31" s="2"/>
      <c r="P31" s="2" t="s">
        <v>35</v>
      </c>
      <c r="Q31" s="2"/>
      <c r="R31" s="2" t="s">
        <v>194</v>
      </c>
      <c r="S31" s="2" t="s">
        <v>194</v>
      </c>
      <c r="T31" s="2">
        <v>16981328537</v>
      </c>
      <c r="U31" s="2">
        <v>16981280192</v>
      </c>
      <c r="V31" s="2" t="s">
        <v>195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40</v>
      </c>
      <c r="AE31" s="3" t="s">
        <v>196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2.75" x14ac:dyDescent="0.2">
      <c r="A32" s="1">
        <v>45484.665532407409</v>
      </c>
      <c r="B32" s="2" t="s">
        <v>197</v>
      </c>
      <c r="C32" s="2">
        <v>37</v>
      </c>
      <c r="D32" s="2" t="s">
        <v>54</v>
      </c>
      <c r="E32" s="2" t="s">
        <v>33</v>
      </c>
      <c r="F32" s="2">
        <v>0</v>
      </c>
      <c r="G32" s="2">
        <v>80.7</v>
      </c>
      <c r="H32" s="2">
        <v>50</v>
      </c>
      <c r="I32" s="2">
        <v>61.957868650000002</v>
      </c>
      <c r="J32" s="2" t="s">
        <v>55</v>
      </c>
      <c r="K32" s="2">
        <v>5</v>
      </c>
      <c r="L32" s="2" t="s">
        <v>33</v>
      </c>
      <c r="M32" s="2" t="s">
        <v>167</v>
      </c>
      <c r="N32" s="2"/>
      <c r="O32" s="2" t="s">
        <v>198</v>
      </c>
      <c r="P32" s="2" t="s">
        <v>35</v>
      </c>
      <c r="Q32" s="2"/>
      <c r="R32" s="2" t="s">
        <v>199</v>
      </c>
      <c r="S32" s="2" t="s">
        <v>199</v>
      </c>
      <c r="T32" s="2">
        <v>16981896523</v>
      </c>
      <c r="U32" s="2">
        <v>16981896523</v>
      </c>
      <c r="V32" s="2" t="s">
        <v>200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40</v>
      </c>
      <c r="AE32" s="3" t="s">
        <v>201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2.75" x14ac:dyDescent="0.2">
      <c r="A33" s="1">
        <v>45484.830752314818</v>
      </c>
      <c r="B33" s="2" t="s">
        <v>202</v>
      </c>
      <c r="C33" s="2">
        <v>32</v>
      </c>
      <c r="D33" s="2" t="s">
        <v>32</v>
      </c>
      <c r="E33" s="2" t="s">
        <v>33</v>
      </c>
      <c r="F33" s="2">
        <v>4</v>
      </c>
      <c r="G33" s="2">
        <v>77.75</v>
      </c>
      <c r="H33" s="2">
        <v>48</v>
      </c>
      <c r="I33" s="2">
        <v>61.736334409999998</v>
      </c>
      <c r="J33" s="2" t="s">
        <v>63</v>
      </c>
      <c r="K33" s="2">
        <v>6</v>
      </c>
      <c r="L33" s="2" t="s">
        <v>35</v>
      </c>
      <c r="M33" s="2"/>
      <c r="N33" s="2"/>
      <c r="O33" s="2"/>
      <c r="P33" s="2" t="s">
        <v>33</v>
      </c>
      <c r="Q33" s="2" t="s">
        <v>203</v>
      </c>
      <c r="R33" s="2" t="s">
        <v>204</v>
      </c>
      <c r="S33" s="2" t="s">
        <v>204</v>
      </c>
      <c r="T33" s="2">
        <v>16991823757</v>
      </c>
      <c r="U33" s="2">
        <v>16991833186</v>
      </c>
      <c r="V33" s="2" t="s">
        <v>205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40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2.75" x14ac:dyDescent="0.2">
      <c r="A34" s="1">
        <v>45484.954479166663</v>
      </c>
      <c r="B34" s="2" t="s">
        <v>206</v>
      </c>
      <c r="C34" s="2">
        <v>28</v>
      </c>
      <c r="D34" s="2" t="s">
        <v>32</v>
      </c>
      <c r="E34" s="2" t="s">
        <v>33</v>
      </c>
      <c r="F34" s="2">
        <v>9</v>
      </c>
      <c r="G34" s="2">
        <v>64.150000000000006</v>
      </c>
      <c r="H34" s="2">
        <v>38</v>
      </c>
      <c r="I34" s="2">
        <v>59.236165239999998</v>
      </c>
      <c r="J34" s="2" t="s">
        <v>69</v>
      </c>
      <c r="K34" s="2">
        <v>1</v>
      </c>
      <c r="L34" s="2" t="s">
        <v>33</v>
      </c>
      <c r="M34" s="27" t="s">
        <v>597</v>
      </c>
      <c r="N34" s="27" t="s">
        <v>598</v>
      </c>
      <c r="O34" s="2" t="s">
        <v>207</v>
      </c>
      <c r="P34" s="2" t="s">
        <v>35</v>
      </c>
      <c r="Q34" s="2"/>
      <c r="R34" s="2" t="s">
        <v>208</v>
      </c>
      <c r="S34" s="2" t="s">
        <v>208</v>
      </c>
      <c r="T34" s="2">
        <v>16997840125</v>
      </c>
      <c r="U34" s="2">
        <v>16997271403</v>
      </c>
      <c r="V34" s="2" t="s">
        <v>209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40</v>
      </c>
      <c r="AE34" s="3" t="s">
        <v>210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2.75" x14ac:dyDescent="0.2">
      <c r="A35" s="1">
        <v>45485.401979166665</v>
      </c>
      <c r="B35" s="2" t="s">
        <v>211</v>
      </c>
      <c r="C35" s="2">
        <v>40</v>
      </c>
      <c r="D35" s="2" t="s">
        <v>54</v>
      </c>
      <c r="E35" s="2" t="s">
        <v>33</v>
      </c>
      <c r="F35" s="2">
        <v>11</v>
      </c>
      <c r="G35" s="2">
        <v>59.4</v>
      </c>
      <c r="H35" s="2">
        <v>50</v>
      </c>
      <c r="I35" s="2">
        <v>84.175084179999999</v>
      </c>
      <c r="J35" s="2" t="s">
        <v>49</v>
      </c>
      <c r="K35" s="2">
        <v>8</v>
      </c>
      <c r="L35" s="2" t="s">
        <v>33</v>
      </c>
      <c r="M35" s="27" t="s">
        <v>613</v>
      </c>
      <c r="N35" s="27" t="s">
        <v>612</v>
      </c>
      <c r="O35" s="2">
        <v>20</v>
      </c>
      <c r="P35" s="2" t="s">
        <v>35</v>
      </c>
      <c r="Q35" s="2"/>
      <c r="R35" s="2" t="s">
        <v>212</v>
      </c>
      <c r="S35" s="2" t="s">
        <v>212</v>
      </c>
      <c r="T35" s="2">
        <v>16981585832</v>
      </c>
      <c r="U35" s="2">
        <v>16981585832</v>
      </c>
      <c r="V35" s="2" t="s">
        <v>213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40</v>
      </c>
      <c r="AE35" s="3" t="s">
        <v>214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2.75" x14ac:dyDescent="0.2">
      <c r="A36" s="1">
        <v>45485.449988425928</v>
      </c>
      <c r="B36" s="2" t="s">
        <v>215</v>
      </c>
      <c r="C36" s="2">
        <v>29</v>
      </c>
      <c r="D36" s="2" t="s">
        <v>32</v>
      </c>
      <c r="E36" s="2" t="s">
        <v>33</v>
      </c>
      <c r="F36" s="2">
        <v>0</v>
      </c>
      <c r="G36" s="2">
        <v>77.5</v>
      </c>
      <c r="H36" s="2">
        <v>42</v>
      </c>
      <c r="I36" s="2">
        <v>54.193548389999997</v>
      </c>
      <c r="J36" s="2" t="s">
        <v>161</v>
      </c>
      <c r="K36" s="2">
        <v>5</v>
      </c>
      <c r="L36" s="2" t="s">
        <v>35</v>
      </c>
      <c r="M36" s="2"/>
      <c r="N36" s="2"/>
      <c r="O36" s="2"/>
      <c r="P36" s="2" t="s">
        <v>35</v>
      </c>
      <c r="Q36" s="2"/>
      <c r="R36" s="2" t="s">
        <v>216</v>
      </c>
      <c r="S36" s="2" t="s">
        <v>216</v>
      </c>
      <c r="T36" s="2">
        <v>16994154361</v>
      </c>
      <c r="U36" s="2" t="s">
        <v>217</v>
      </c>
      <c r="V36" s="2" t="s">
        <v>218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40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2.75" x14ac:dyDescent="0.2">
      <c r="A37" s="1">
        <v>45485.626319444447</v>
      </c>
      <c r="B37" s="2" t="s">
        <v>219</v>
      </c>
      <c r="C37" s="2">
        <v>21</v>
      </c>
      <c r="D37" s="2" t="s">
        <v>32</v>
      </c>
      <c r="E37" s="2" t="s">
        <v>33</v>
      </c>
      <c r="F37" s="2">
        <v>4</v>
      </c>
      <c r="G37" s="2">
        <v>51.1</v>
      </c>
      <c r="H37" s="2">
        <v>30</v>
      </c>
      <c r="I37" s="2">
        <v>58.708414869999999</v>
      </c>
      <c r="J37" s="2" t="s">
        <v>55</v>
      </c>
      <c r="K37" s="2">
        <v>2</v>
      </c>
      <c r="L37" s="2" t="s">
        <v>33</v>
      </c>
      <c r="M37" s="2"/>
      <c r="N37" s="2"/>
      <c r="O37" s="2">
        <v>3</v>
      </c>
      <c r="P37" s="2" t="s">
        <v>35</v>
      </c>
      <c r="Q37" s="2"/>
      <c r="R37" s="2" t="s">
        <v>220</v>
      </c>
      <c r="S37" s="2" t="s">
        <v>220</v>
      </c>
      <c r="T37" s="2">
        <v>16994006858</v>
      </c>
      <c r="U37" s="2" t="s">
        <v>221</v>
      </c>
      <c r="V37" s="2" t="s">
        <v>222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40</v>
      </c>
      <c r="AE37" s="3" t="s">
        <v>223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2.75" x14ac:dyDescent="0.2">
      <c r="A38" s="1">
        <v>45487.655694444446</v>
      </c>
      <c r="B38" s="2" t="s">
        <v>224</v>
      </c>
      <c r="C38" s="2">
        <v>24</v>
      </c>
      <c r="D38" s="2" t="s">
        <v>54</v>
      </c>
      <c r="E38" s="2" t="s">
        <v>33</v>
      </c>
      <c r="F38" s="2">
        <v>6</v>
      </c>
      <c r="G38" s="2">
        <v>77.55</v>
      </c>
      <c r="H38" s="2">
        <v>56</v>
      </c>
      <c r="I38" s="2">
        <v>72.211476469999994</v>
      </c>
      <c r="J38" s="2" t="s">
        <v>49</v>
      </c>
      <c r="K38" s="2">
        <v>4</v>
      </c>
      <c r="L38" s="2" t="s">
        <v>35</v>
      </c>
      <c r="M38" s="2"/>
      <c r="N38" s="2"/>
      <c r="O38" s="2"/>
      <c r="P38" s="2" t="s">
        <v>33</v>
      </c>
      <c r="Q38" s="2" t="s">
        <v>225</v>
      </c>
      <c r="R38" s="2" t="s">
        <v>226</v>
      </c>
      <c r="S38" s="2" t="s">
        <v>226</v>
      </c>
      <c r="T38" s="2">
        <v>12991738487</v>
      </c>
      <c r="U38" s="2">
        <v>12991540698</v>
      </c>
      <c r="V38" s="2" t="s">
        <v>227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40</v>
      </c>
      <c r="AE38" s="3" t="s">
        <v>228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2.75" x14ac:dyDescent="0.2">
      <c r="A39" s="1">
        <v>45487.659548611111</v>
      </c>
      <c r="B39" s="2" t="s">
        <v>229</v>
      </c>
      <c r="C39" s="2">
        <v>26</v>
      </c>
      <c r="D39" s="2" t="s">
        <v>54</v>
      </c>
      <c r="E39" s="2" t="s">
        <v>33</v>
      </c>
      <c r="F39" s="2">
        <v>10</v>
      </c>
      <c r="G39" s="2">
        <v>72.8</v>
      </c>
      <c r="H39" s="2">
        <v>60</v>
      </c>
      <c r="I39" s="2">
        <v>82.417582420000002</v>
      </c>
      <c r="J39" s="2" t="s">
        <v>49</v>
      </c>
      <c r="K39" s="2">
        <v>3</v>
      </c>
      <c r="L39" s="2" t="s">
        <v>33</v>
      </c>
      <c r="M39" s="2" t="s">
        <v>230</v>
      </c>
      <c r="N39" s="2" t="s">
        <v>231</v>
      </c>
      <c r="O39" s="2">
        <v>2</v>
      </c>
      <c r="P39" s="2" t="s">
        <v>35</v>
      </c>
      <c r="Q39" s="2"/>
      <c r="R39" s="2" t="s">
        <v>232</v>
      </c>
      <c r="S39" s="2" t="s">
        <v>232</v>
      </c>
      <c r="T39" s="2">
        <v>16994406361</v>
      </c>
      <c r="U39" s="2">
        <v>16993771082</v>
      </c>
      <c r="V39" s="2" t="s">
        <v>233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40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2.75" x14ac:dyDescent="0.2">
      <c r="A40" s="1">
        <v>45487.812627314815</v>
      </c>
      <c r="B40" s="2" t="s">
        <v>234</v>
      </c>
      <c r="C40" s="2">
        <v>44</v>
      </c>
      <c r="D40" s="2" t="s">
        <v>32</v>
      </c>
      <c r="E40" s="2" t="s">
        <v>33</v>
      </c>
      <c r="F40" s="2">
        <v>0</v>
      </c>
      <c r="G40" s="2">
        <v>79.900000000000006</v>
      </c>
      <c r="H40" s="2">
        <v>42</v>
      </c>
      <c r="I40" s="2">
        <v>52.56570713</v>
      </c>
      <c r="J40" s="2" t="s">
        <v>49</v>
      </c>
      <c r="K40" s="2">
        <v>3</v>
      </c>
      <c r="L40" s="2" t="s">
        <v>33</v>
      </c>
      <c r="M40" s="2" t="s">
        <v>56</v>
      </c>
      <c r="N40" s="2" t="s">
        <v>76</v>
      </c>
      <c r="O40" s="2">
        <v>3</v>
      </c>
      <c r="P40" s="2" t="s">
        <v>35</v>
      </c>
      <c r="Q40" s="2"/>
      <c r="R40" s="2" t="s">
        <v>235</v>
      </c>
      <c r="S40" s="2" t="s">
        <v>235</v>
      </c>
      <c r="T40" s="2">
        <v>16981019920</v>
      </c>
      <c r="U40" s="2">
        <v>16997285700</v>
      </c>
      <c r="V40" s="2" t="s">
        <v>236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40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2.75" x14ac:dyDescent="0.2">
      <c r="A41" s="1">
        <v>45488.414513888885</v>
      </c>
      <c r="B41" s="2" t="s">
        <v>237</v>
      </c>
      <c r="C41" s="2">
        <v>24</v>
      </c>
      <c r="D41" s="2" t="s">
        <v>32</v>
      </c>
      <c r="E41" s="2" t="s">
        <v>33</v>
      </c>
      <c r="F41" s="2">
        <v>0</v>
      </c>
      <c r="G41" s="2">
        <v>72.099999999999994</v>
      </c>
      <c r="H41" s="2">
        <v>32</v>
      </c>
      <c r="I41" s="2">
        <v>44.382801659999998</v>
      </c>
      <c r="J41" s="2" t="s">
        <v>55</v>
      </c>
      <c r="K41" s="2">
        <v>4</v>
      </c>
      <c r="L41" s="2" t="s">
        <v>33</v>
      </c>
      <c r="M41" s="2" t="s">
        <v>56</v>
      </c>
      <c r="N41" s="2"/>
      <c r="O41" s="2">
        <v>4</v>
      </c>
      <c r="P41" s="2" t="s">
        <v>33</v>
      </c>
      <c r="Q41" s="2" t="s">
        <v>238</v>
      </c>
      <c r="R41" s="2" t="s">
        <v>239</v>
      </c>
      <c r="S41" s="2" t="s">
        <v>239</v>
      </c>
      <c r="T41" s="2">
        <v>16981301901</v>
      </c>
      <c r="U41" s="2">
        <v>16992293686</v>
      </c>
      <c r="V41" s="2" t="s">
        <v>240</v>
      </c>
      <c r="W41" s="2" t="s">
        <v>39</v>
      </c>
      <c r="X41" s="2" t="s">
        <v>39</v>
      </c>
      <c r="Y41" s="2" t="s">
        <v>39</v>
      </c>
      <c r="Z41" s="2" t="s">
        <v>40</v>
      </c>
      <c r="AA41" s="2" t="s">
        <v>39</v>
      </c>
      <c r="AB41" s="2" t="s">
        <v>39</v>
      </c>
      <c r="AC41" s="2" t="s">
        <v>39</v>
      </c>
      <c r="AD41" s="2" t="s">
        <v>40</v>
      </c>
      <c r="AE41" s="3" t="s">
        <v>241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2.75" x14ac:dyDescent="0.2">
      <c r="A42" s="1">
        <v>45488.763831018521</v>
      </c>
      <c r="B42" s="2" t="s">
        <v>242</v>
      </c>
      <c r="C42" s="2">
        <v>33</v>
      </c>
      <c r="D42" s="2" t="s">
        <v>54</v>
      </c>
      <c r="E42" s="2" t="s">
        <v>33</v>
      </c>
      <c r="F42" s="2">
        <v>8</v>
      </c>
      <c r="G42" s="2">
        <v>84.2</v>
      </c>
      <c r="H42" s="2">
        <v>70</v>
      </c>
      <c r="I42" s="2">
        <v>83.135391920000004</v>
      </c>
      <c r="J42" s="2" t="s">
        <v>243</v>
      </c>
      <c r="K42" s="2">
        <v>5</v>
      </c>
      <c r="L42" s="2" t="s">
        <v>33</v>
      </c>
      <c r="M42" s="2" t="s">
        <v>64</v>
      </c>
      <c r="N42" s="2" t="s">
        <v>123</v>
      </c>
      <c r="O42" s="2">
        <v>4</v>
      </c>
      <c r="P42" s="2" t="s">
        <v>35</v>
      </c>
      <c r="Q42" s="2"/>
      <c r="R42" s="2" t="s">
        <v>244</v>
      </c>
      <c r="S42" s="2" t="s">
        <v>244</v>
      </c>
      <c r="T42" s="2">
        <v>16997206026</v>
      </c>
      <c r="U42" s="2">
        <v>16988177979</v>
      </c>
      <c r="V42" s="2" t="s">
        <v>245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40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2.75" x14ac:dyDescent="0.2">
      <c r="A43" s="1">
        <v>45489.209189814814</v>
      </c>
      <c r="B43" s="2" t="s">
        <v>246</v>
      </c>
      <c r="C43" s="2">
        <v>30</v>
      </c>
      <c r="D43" s="2" t="s">
        <v>32</v>
      </c>
      <c r="E43" s="2" t="s">
        <v>33</v>
      </c>
      <c r="F43" s="2">
        <v>0</v>
      </c>
      <c r="G43" s="2">
        <v>64.849999999999994</v>
      </c>
      <c r="H43" s="2">
        <v>30</v>
      </c>
      <c r="I43" s="2">
        <v>46.260601389999998</v>
      </c>
      <c r="J43" s="2" t="s">
        <v>55</v>
      </c>
      <c r="K43" s="2">
        <v>2</v>
      </c>
      <c r="L43" s="2" t="s">
        <v>33</v>
      </c>
      <c r="M43" s="2" t="s">
        <v>247</v>
      </c>
      <c r="N43" s="27" t="s">
        <v>614</v>
      </c>
      <c r="O43" s="2" t="s">
        <v>248</v>
      </c>
      <c r="P43" s="2" t="s">
        <v>35</v>
      </c>
      <c r="Q43" s="2"/>
      <c r="R43" s="2" t="s">
        <v>249</v>
      </c>
      <c r="S43" s="2" t="s">
        <v>249</v>
      </c>
      <c r="T43" s="2">
        <v>16982556766</v>
      </c>
      <c r="U43" s="2">
        <v>16982635895</v>
      </c>
      <c r="V43" s="2" t="s">
        <v>250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40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.75" x14ac:dyDescent="0.2">
      <c r="A44" s="1">
        <v>45489.676365740743</v>
      </c>
      <c r="B44" s="2" t="s">
        <v>251</v>
      </c>
      <c r="C44" s="2">
        <v>27</v>
      </c>
      <c r="D44" s="2" t="s">
        <v>54</v>
      </c>
      <c r="E44" s="2" t="s">
        <v>33</v>
      </c>
      <c r="F44" s="2">
        <v>17</v>
      </c>
      <c r="G44" s="2">
        <v>85.8</v>
      </c>
      <c r="H44" s="2">
        <v>84</v>
      </c>
      <c r="I44" s="2">
        <v>97.902097900000001</v>
      </c>
      <c r="J44" s="2" t="s">
        <v>49</v>
      </c>
      <c r="K44" s="2">
        <v>3</v>
      </c>
      <c r="L44" s="2" t="s">
        <v>33</v>
      </c>
      <c r="M44" s="2" t="s">
        <v>252</v>
      </c>
      <c r="N44" s="2" t="s">
        <v>253</v>
      </c>
      <c r="O44" s="2">
        <v>5</v>
      </c>
      <c r="P44" s="2" t="s">
        <v>33</v>
      </c>
      <c r="Q44" s="2" t="s">
        <v>254</v>
      </c>
      <c r="R44" s="2" t="s">
        <v>255</v>
      </c>
      <c r="S44" s="2" t="s">
        <v>255</v>
      </c>
      <c r="T44" s="2">
        <v>18981040885</v>
      </c>
      <c r="U44" s="2" t="s">
        <v>256</v>
      </c>
      <c r="V44" s="2" t="s">
        <v>257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40</v>
      </c>
      <c r="AE44" s="3" t="s">
        <v>258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2.75" x14ac:dyDescent="0.2">
      <c r="A45" s="1">
        <v>45489.963599537034</v>
      </c>
      <c r="B45" s="2" t="s">
        <v>259</v>
      </c>
      <c r="C45" s="2">
        <v>32</v>
      </c>
      <c r="D45" s="2" t="s">
        <v>54</v>
      </c>
      <c r="E45" s="2" t="s">
        <v>33</v>
      </c>
      <c r="F45" s="2">
        <v>2</v>
      </c>
      <c r="G45" s="2">
        <v>97.4</v>
      </c>
      <c r="H45" s="2">
        <v>74</v>
      </c>
      <c r="I45" s="2">
        <v>75.975359339999997</v>
      </c>
      <c r="J45" s="2" t="s">
        <v>90</v>
      </c>
      <c r="K45" s="2">
        <v>5</v>
      </c>
      <c r="L45" s="2" t="s">
        <v>35</v>
      </c>
      <c r="M45" s="2"/>
      <c r="N45" s="2"/>
      <c r="O45" s="2"/>
      <c r="P45" s="2"/>
      <c r="Q45" s="2"/>
      <c r="R45" s="2" t="s">
        <v>260</v>
      </c>
      <c r="S45" s="2" t="s">
        <v>260</v>
      </c>
      <c r="T45" s="2">
        <v>16988261501</v>
      </c>
      <c r="U45" s="2" t="s">
        <v>261</v>
      </c>
      <c r="V45" s="2" t="s">
        <v>262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40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2.75" x14ac:dyDescent="0.2">
      <c r="A46" s="1">
        <v>45490.435231481482</v>
      </c>
      <c r="B46" s="2" t="s">
        <v>263</v>
      </c>
      <c r="C46" s="2">
        <v>45</v>
      </c>
      <c r="D46" s="2" t="s">
        <v>32</v>
      </c>
      <c r="E46" s="2" t="s">
        <v>33</v>
      </c>
      <c r="F46" s="2">
        <v>0</v>
      </c>
      <c r="G46" s="2">
        <v>63.7</v>
      </c>
      <c r="H46" s="2">
        <v>35</v>
      </c>
      <c r="I46" s="2">
        <v>54.945054949999999</v>
      </c>
      <c r="J46" s="2" t="s">
        <v>123</v>
      </c>
      <c r="K46" s="2">
        <v>6</v>
      </c>
      <c r="L46" s="2" t="s">
        <v>33</v>
      </c>
      <c r="M46" s="2" t="s">
        <v>156</v>
      </c>
      <c r="N46" s="2"/>
      <c r="O46" s="2">
        <v>2</v>
      </c>
      <c r="P46" s="2" t="s">
        <v>35</v>
      </c>
      <c r="Q46" s="2"/>
      <c r="R46" s="2" t="s">
        <v>264</v>
      </c>
      <c r="S46" s="2" t="s">
        <v>264</v>
      </c>
      <c r="T46" s="2">
        <v>16991191893</v>
      </c>
      <c r="U46" s="2" t="s">
        <v>265</v>
      </c>
      <c r="V46" s="2" t="s">
        <v>266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40</v>
      </c>
      <c r="AE46" s="3" t="s">
        <v>267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x14ac:dyDescent="0.2">
      <c r="A47" s="1">
        <v>45490.51116898148</v>
      </c>
      <c r="B47" s="2" t="s">
        <v>268</v>
      </c>
      <c r="C47" s="2">
        <v>24</v>
      </c>
      <c r="D47" s="2" t="s">
        <v>32</v>
      </c>
      <c r="E47" s="2" t="s">
        <v>33</v>
      </c>
      <c r="F47" s="2">
        <v>0</v>
      </c>
      <c r="G47" s="2">
        <v>59.4</v>
      </c>
      <c r="H47" s="2">
        <v>34</v>
      </c>
      <c r="I47" s="2">
        <v>57.239057240000001</v>
      </c>
      <c r="J47" s="2" t="s">
        <v>123</v>
      </c>
      <c r="K47" s="2">
        <v>2</v>
      </c>
      <c r="L47" s="2" t="s">
        <v>33</v>
      </c>
      <c r="M47" s="2" t="s">
        <v>56</v>
      </c>
      <c r="N47" s="2" t="s">
        <v>269</v>
      </c>
      <c r="O47" s="2" t="s">
        <v>270</v>
      </c>
      <c r="P47" s="2" t="s">
        <v>35</v>
      </c>
      <c r="Q47" s="2"/>
      <c r="R47" s="2" t="s">
        <v>271</v>
      </c>
      <c r="S47" s="2" t="s">
        <v>271</v>
      </c>
      <c r="T47" s="2">
        <v>19997462967</v>
      </c>
      <c r="U47" s="2">
        <v>18981040885</v>
      </c>
      <c r="V47" s="2" t="s">
        <v>272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40</v>
      </c>
      <c r="AE47" s="3" t="s">
        <v>273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x14ac:dyDescent="0.2">
      <c r="A48" s="1">
        <v>45490.569895833331</v>
      </c>
      <c r="B48" s="2" t="s">
        <v>274</v>
      </c>
      <c r="C48" s="2">
        <v>21</v>
      </c>
      <c r="D48" s="2" t="s">
        <v>54</v>
      </c>
      <c r="E48" s="2" t="s">
        <v>33</v>
      </c>
      <c r="F48" s="2">
        <v>11</v>
      </c>
      <c r="G48" s="2">
        <v>90.1</v>
      </c>
      <c r="H48" s="2">
        <v>62</v>
      </c>
      <c r="I48" s="2">
        <v>68.812430629999994</v>
      </c>
      <c r="J48" s="2" t="s">
        <v>55</v>
      </c>
      <c r="K48" s="2">
        <v>12</v>
      </c>
      <c r="L48" s="2" t="s">
        <v>35</v>
      </c>
      <c r="M48" s="2"/>
      <c r="N48" s="2"/>
      <c r="O48" s="2"/>
      <c r="P48" s="2" t="s">
        <v>184</v>
      </c>
      <c r="Q48" s="2"/>
      <c r="R48" s="2" t="s">
        <v>275</v>
      </c>
      <c r="S48" s="2" t="s">
        <v>275</v>
      </c>
      <c r="T48" s="2">
        <v>16992113335</v>
      </c>
      <c r="U48" s="2">
        <v>62999157007</v>
      </c>
      <c r="V48" s="2" t="s">
        <v>276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40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x14ac:dyDescent="0.2">
      <c r="A49" s="1">
        <v>45490.791562500002</v>
      </c>
      <c r="B49" s="2" t="s">
        <v>277</v>
      </c>
      <c r="C49" s="2">
        <v>36</v>
      </c>
      <c r="D49" s="2" t="s">
        <v>54</v>
      </c>
      <c r="E49" s="2" t="s">
        <v>33</v>
      </c>
      <c r="F49" s="2">
        <v>3</v>
      </c>
      <c r="G49" s="2">
        <v>93.8</v>
      </c>
      <c r="H49" s="2">
        <v>72</v>
      </c>
      <c r="I49" s="2">
        <v>76.759061829999993</v>
      </c>
      <c r="J49" s="2" t="s">
        <v>34</v>
      </c>
      <c r="K49" s="2">
        <v>2</v>
      </c>
      <c r="L49" s="2" t="s">
        <v>33</v>
      </c>
      <c r="M49" s="2" t="s">
        <v>56</v>
      </c>
      <c r="N49" s="2" t="s">
        <v>231</v>
      </c>
      <c r="O49" s="2" t="s">
        <v>278</v>
      </c>
      <c r="P49" s="2" t="s">
        <v>184</v>
      </c>
      <c r="Q49" s="2"/>
      <c r="R49" s="2" t="s">
        <v>279</v>
      </c>
      <c r="S49" s="2" t="s">
        <v>279</v>
      </c>
      <c r="T49" s="2">
        <v>16991215931</v>
      </c>
      <c r="U49" s="2">
        <v>16981890880</v>
      </c>
      <c r="V49" s="2" t="s">
        <v>280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40</v>
      </c>
      <c r="AE49" s="3" t="s">
        <v>281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x14ac:dyDescent="0.2">
      <c r="A50" s="1">
        <v>45490.799780092595</v>
      </c>
      <c r="B50" s="2" t="s">
        <v>282</v>
      </c>
      <c r="C50" s="2">
        <v>49</v>
      </c>
      <c r="D50" s="2" t="s">
        <v>54</v>
      </c>
      <c r="E50" s="2" t="s">
        <v>33</v>
      </c>
      <c r="F50" s="2">
        <v>0</v>
      </c>
      <c r="G50" s="2">
        <v>89.8</v>
      </c>
      <c r="H50" s="2">
        <v>54</v>
      </c>
      <c r="I50" s="2">
        <v>60.133630289999999</v>
      </c>
      <c r="J50" s="2" t="s">
        <v>69</v>
      </c>
      <c r="K50" s="2">
        <v>3</v>
      </c>
      <c r="L50" s="2" t="s">
        <v>33</v>
      </c>
      <c r="M50" s="2" t="s">
        <v>283</v>
      </c>
      <c r="N50" s="2"/>
      <c r="O50" s="2" t="s">
        <v>284</v>
      </c>
      <c r="P50" s="2" t="s">
        <v>33</v>
      </c>
      <c r="Q50" s="2" t="s">
        <v>285</v>
      </c>
      <c r="R50" s="2" t="s">
        <v>286</v>
      </c>
      <c r="S50" s="2" t="s">
        <v>286</v>
      </c>
      <c r="T50" s="2">
        <v>16988088115</v>
      </c>
      <c r="U50" s="2" t="s">
        <v>287</v>
      </c>
      <c r="V50" s="2" t="s">
        <v>288</v>
      </c>
      <c r="W50" s="2" t="s">
        <v>39</v>
      </c>
      <c r="X50" s="2" t="s">
        <v>39</v>
      </c>
      <c r="Y50" s="2" t="s">
        <v>39</v>
      </c>
      <c r="Z50" s="2" t="s">
        <v>40</v>
      </c>
      <c r="AA50" s="2" t="s">
        <v>39</v>
      </c>
      <c r="AB50" s="2" t="s">
        <v>39</v>
      </c>
      <c r="AC50" s="2" t="s">
        <v>39</v>
      </c>
      <c r="AD50" s="2" t="s">
        <v>40</v>
      </c>
      <c r="AE50" s="3" t="s">
        <v>289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x14ac:dyDescent="0.2">
      <c r="A51" s="1">
        <v>45490.816099537034</v>
      </c>
      <c r="B51" s="2" t="s">
        <v>290</v>
      </c>
      <c r="C51" s="2">
        <v>24</v>
      </c>
      <c r="D51" s="2" t="s">
        <v>54</v>
      </c>
      <c r="E51" s="2" t="s">
        <v>33</v>
      </c>
      <c r="F51" s="2">
        <v>22</v>
      </c>
      <c r="G51" s="2">
        <v>76</v>
      </c>
      <c r="H51" s="2">
        <v>64</v>
      </c>
      <c r="I51" s="2">
        <v>84.21052632</v>
      </c>
      <c r="J51" s="2" t="s">
        <v>123</v>
      </c>
      <c r="K51" s="2">
        <v>5</v>
      </c>
      <c r="L51" s="2" t="s">
        <v>35</v>
      </c>
      <c r="M51" s="27" t="s">
        <v>599</v>
      </c>
      <c r="N51" s="27" t="s">
        <v>63</v>
      </c>
      <c r="O51" s="2"/>
      <c r="P51" s="2" t="s">
        <v>35</v>
      </c>
      <c r="Q51" s="2"/>
      <c r="R51" s="2" t="s">
        <v>291</v>
      </c>
      <c r="S51" s="2" t="s">
        <v>291</v>
      </c>
      <c r="T51" s="2">
        <v>19993732029</v>
      </c>
      <c r="U51" s="2">
        <v>19993333083</v>
      </c>
      <c r="V51" s="2" t="s">
        <v>292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40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x14ac:dyDescent="0.2">
      <c r="A52" s="1">
        <v>45490.862893518519</v>
      </c>
      <c r="B52" s="2" t="s">
        <v>293</v>
      </c>
      <c r="C52" s="2">
        <v>30</v>
      </c>
      <c r="D52" s="2" t="s">
        <v>54</v>
      </c>
      <c r="E52" s="2" t="s">
        <v>33</v>
      </c>
      <c r="F52" s="2">
        <v>0</v>
      </c>
      <c r="G52" s="2">
        <v>72.5</v>
      </c>
      <c r="H52" s="2">
        <v>44</v>
      </c>
      <c r="I52" s="2">
        <v>60.689655170000002</v>
      </c>
      <c r="J52" s="2" t="s">
        <v>90</v>
      </c>
      <c r="K52" s="2">
        <v>6</v>
      </c>
      <c r="L52" s="2" t="s">
        <v>33</v>
      </c>
      <c r="M52" s="2"/>
      <c r="N52" s="2"/>
      <c r="O52" s="2">
        <v>3</v>
      </c>
      <c r="P52" s="2"/>
      <c r="Q52" s="2"/>
      <c r="R52" s="2" t="s">
        <v>294</v>
      </c>
      <c r="S52" s="2" t="s">
        <v>294</v>
      </c>
      <c r="T52" s="2">
        <v>91983441094</v>
      </c>
      <c r="U52" s="2">
        <v>16992410362</v>
      </c>
      <c r="V52" s="2" t="s">
        <v>295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40</v>
      </c>
      <c r="AE52" s="3" t="s">
        <v>296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x14ac:dyDescent="0.2">
      <c r="A53" s="1">
        <v>45491.680509259262</v>
      </c>
      <c r="B53" s="2" t="s">
        <v>297</v>
      </c>
      <c r="C53" s="2">
        <v>36</v>
      </c>
      <c r="D53" s="2" t="s">
        <v>54</v>
      </c>
      <c r="E53" s="2" t="s">
        <v>33</v>
      </c>
      <c r="F53" s="2">
        <v>0</v>
      </c>
      <c r="G53" s="2">
        <v>84.6</v>
      </c>
      <c r="H53" s="2">
        <v>40</v>
      </c>
      <c r="I53" s="2">
        <v>47.281323880000002</v>
      </c>
      <c r="J53" s="2" t="s">
        <v>69</v>
      </c>
      <c r="K53" s="2">
        <v>2</v>
      </c>
      <c r="L53" s="2" t="s">
        <v>33</v>
      </c>
      <c r="M53" s="2" t="s">
        <v>298</v>
      </c>
      <c r="N53" s="2" t="s">
        <v>299</v>
      </c>
      <c r="O53" s="2" t="s">
        <v>300</v>
      </c>
      <c r="P53" s="2" t="s">
        <v>35</v>
      </c>
      <c r="Q53" s="2"/>
      <c r="R53" s="2" t="s">
        <v>301</v>
      </c>
      <c r="S53" s="2" t="s">
        <v>301</v>
      </c>
      <c r="T53" s="2">
        <v>16981561203</v>
      </c>
      <c r="U53" s="2" t="s">
        <v>302</v>
      </c>
      <c r="V53" s="2" t="s">
        <v>303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40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x14ac:dyDescent="0.2">
      <c r="A54" s="1">
        <v>45491.737164351849</v>
      </c>
      <c r="B54" s="2" t="s">
        <v>304</v>
      </c>
      <c r="C54" s="2">
        <v>37</v>
      </c>
      <c r="D54" s="2" t="s">
        <v>32</v>
      </c>
      <c r="E54" s="2" t="s">
        <v>33</v>
      </c>
      <c r="F54" s="2">
        <v>0</v>
      </c>
      <c r="G54" s="2">
        <v>66.2</v>
      </c>
      <c r="H54" s="2">
        <v>34</v>
      </c>
      <c r="I54" s="2">
        <v>51.359516620000001</v>
      </c>
      <c r="J54" s="2" t="s">
        <v>69</v>
      </c>
      <c r="K54" s="2">
        <v>7</v>
      </c>
      <c r="L54" s="2" t="s">
        <v>35</v>
      </c>
      <c r="M54" s="2"/>
      <c r="N54" s="2"/>
      <c r="O54" s="2"/>
      <c r="P54" s="2" t="s">
        <v>33</v>
      </c>
      <c r="Q54" s="2" t="s">
        <v>285</v>
      </c>
      <c r="R54" s="2" t="s">
        <v>305</v>
      </c>
      <c r="S54" s="2" t="s">
        <v>305</v>
      </c>
      <c r="T54" s="2">
        <v>16992281730</v>
      </c>
      <c r="U54" s="2">
        <v>16992281730</v>
      </c>
      <c r="V54" s="2" t="s">
        <v>306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40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x14ac:dyDescent="0.2">
      <c r="A55" s="1">
        <v>45492.883622685185</v>
      </c>
      <c r="B55" s="2" t="s">
        <v>307</v>
      </c>
      <c r="C55" s="2">
        <v>30</v>
      </c>
      <c r="D55" s="2" t="s">
        <v>54</v>
      </c>
      <c r="E55" s="2" t="s">
        <v>33</v>
      </c>
      <c r="F55" s="2">
        <v>8</v>
      </c>
      <c r="G55" s="2">
        <v>83.45</v>
      </c>
      <c r="H55" s="2">
        <v>72</v>
      </c>
      <c r="I55" s="2">
        <v>86.279209109999996</v>
      </c>
      <c r="J55" s="2" t="s">
        <v>90</v>
      </c>
      <c r="K55" s="2">
        <v>5</v>
      </c>
      <c r="L55" s="2" t="s">
        <v>35</v>
      </c>
      <c r="M55" s="2"/>
      <c r="N55" s="2"/>
      <c r="O55" s="2"/>
      <c r="P55" s="2"/>
      <c r="Q55" s="2"/>
      <c r="R55" s="2" t="s">
        <v>308</v>
      </c>
      <c r="S55" s="2" t="s">
        <v>308</v>
      </c>
      <c r="T55" s="2">
        <v>16992057979</v>
      </c>
      <c r="U55" s="2">
        <v>16992057979</v>
      </c>
      <c r="V55" s="2" t="s">
        <v>309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40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x14ac:dyDescent="0.2">
      <c r="A56" s="1">
        <v>45493.779803240737</v>
      </c>
      <c r="B56" s="2" t="s">
        <v>310</v>
      </c>
      <c r="C56" s="2">
        <v>41</v>
      </c>
      <c r="D56" s="2" t="s">
        <v>54</v>
      </c>
      <c r="E56" s="2" t="s">
        <v>33</v>
      </c>
      <c r="F56" s="2">
        <v>0</v>
      </c>
      <c r="G56" s="2">
        <v>86.05</v>
      </c>
      <c r="H56" s="2">
        <v>62</v>
      </c>
      <c r="I56" s="2">
        <v>72.051133059999998</v>
      </c>
      <c r="J56" s="2" t="s">
        <v>161</v>
      </c>
      <c r="K56" s="2">
        <v>6</v>
      </c>
      <c r="L56" s="2" t="s">
        <v>35</v>
      </c>
      <c r="M56" s="2"/>
      <c r="N56" s="2"/>
      <c r="O56" s="2"/>
      <c r="P56" s="2" t="s">
        <v>35</v>
      </c>
      <c r="Q56" s="2"/>
      <c r="R56" s="2" t="s">
        <v>311</v>
      </c>
      <c r="S56" s="2" t="s">
        <v>311</v>
      </c>
      <c r="T56" s="2">
        <v>16992599089</v>
      </c>
      <c r="U56" s="2">
        <v>16997080400</v>
      </c>
      <c r="V56" s="2" t="s">
        <v>312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40</v>
      </c>
      <c r="AE56" s="3" t="s">
        <v>313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x14ac:dyDescent="0.2">
      <c r="A57" s="1">
        <v>45495.475960648146</v>
      </c>
      <c r="B57" s="2" t="s">
        <v>314</v>
      </c>
      <c r="C57" s="2">
        <v>31</v>
      </c>
      <c r="D57" s="2" t="s">
        <v>54</v>
      </c>
      <c r="E57" s="2" t="s">
        <v>33</v>
      </c>
      <c r="F57" s="2">
        <v>13</v>
      </c>
      <c r="G57" s="2">
        <v>75.05</v>
      </c>
      <c r="H57" s="2">
        <v>64</v>
      </c>
      <c r="I57" s="2">
        <v>85.276482349999995</v>
      </c>
      <c r="J57" s="2" t="s">
        <v>161</v>
      </c>
      <c r="K57" s="2">
        <v>5</v>
      </c>
      <c r="L57" s="2" t="s">
        <v>35</v>
      </c>
      <c r="M57" s="27" t="s">
        <v>600</v>
      </c>
      <c r="N57" s="27" t="s">
        <v>607</v>
      </c>
      <c r="O57" s="2"/>
      <c r="P57" s="2"/>
      <c r="Q57" s="2"/>
      <c r="R57" s="2" t="s">
        <v>315</v>
      </c>
      <c r="S57" s="2" t="s">
        <v>315</v>
      </c>
      <c r="T57" s="2">
        <v>19991964684</v>
      </c>
      <c r="U57" s="2" t="s">
        <v>316</v>
      </c>
      <c r="V57" s="2" t="s">
        <v>317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40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x14ac:dyDescent="0.2">
      <c r="A58" s="1">
        <v>45495.478020833332</v>
      </c>
      <c r="B58" s="2" t="s">
        <v>318</v>
      </c>
      <c r="C58" s="2">
        <v>40</v>
      </c>
      <c r="D58" s="2" t="s">
        <v>54</v>
      </c>
      <c r="E58" s="2" t="s">
        <v>33</v>
      </c>
      <c r="F58" s="2">
        <v>12</v>
      </c>
      <c r="G58" s="2">
        <v>81.95</v>
      </c>
      <c r="H58" s="2">
        <v>60</v>
      </c>
      <c r="I58" s="2">
        <v>73.215375230000006</v>
      </c>
      <c r="J58" s="2" t="s">
        <v>49</v>
      </c>
      <c r="K58" s="2">
        <v>3</v>
      </c>
      <c r="L58" s="2" t="s">
        <v>35</v>
      </c>
      <c r="M58" s="2"/>
      <c r="N58" s="2"/>
      <c r="O58" s="2"/>
      <c r="P58" s="2" t="s">
        <v>33</v>
      </c>
      <c r="Q58" s="2" t="s">
        <v>319</v>
      </c>
      <c r="R58" s="2" t="s">
        <v>320</v>
      </c>
      <c r="S58" s="2" t="s">
        <v>320</v>
      </c>
      <c r="T58" s="2">
        <v>16993063773</v>
      </c>
      <c r="U58" s="2" t="s">
        <v>321</v>
      </c>
      <c r="V58" s="2" t="s">
        <v>322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40</v>
      </c>
      <c r="AB58" s="2" t="s">
        <v>39</v>
      </c>
      <c r="AC58" s="2" t="s">
        <v>39</v>
      </c>
      <c r="AD58" s="2" t="s">
        <v>40</v>
      </c>
      <c r="AE58" s="3" t="s">
        <v>323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x14ac:dyDescent="0.2">
      <c r="A59" s="1">
        <v>45495.752430555556</v>
      </c>
      <c r="B59" s="2" t="s">
        <v>324</v>
      </c>
      <c r="C59" s="2">
        <v>34</v>
      </c>
      <c r="D59" s="2" t="s">
        <v>32</v>
      </c>
      <c r="E59" s="2" t="s">
        <v>33</v>
      </c>
      <c r="F59" s="2">
        <v>0</v>
      </c>
      <c r="G59" s="2">
        <v>51.15</v>
      </c>
      <c r="H59" s="2">
        <v>29</v>
      </c>
      <c r="I59" s="2">
        <v>56.695992179999998</v>
      </c>
      <c r="J59" s="2" t="s">
        <v>55</v>
      </c>
      <c r="K59" s="2">
        <v>4</v>
      </c>
      <c r="L59" s="2" t="s">
        <v>33</v>
      </c>
      <c r="M59" s="2" t="s">
        <v>56</v>
      </c>
      <c r="N59" s="2" t="s">
        <v>63</v>
      </c>
      <c r="O59" s="2">
        <v>3</v>
      </c>
      <c r="P59" s="2" t="s">
        <v>35</v>
      </c>
      <c r="Q59" s="2"/>
      <c r="R59" s="2" t="s">
        <v>325</v>
      </c>
      <c r="S59" s="2" t="s">
        <v>325</v>
      </c>
      <c r="T59" s="2">
        <v>16981904876</v>
      </c>
      <c r="U59" s="2">
        <f>5516981904876</f>
        <v>5516981904876</v>
      </c>
      <c r="V59" s="2" t="s">
        <v>326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40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x14ac:dyDescent="0.2">
      <c r="A60" s="1">
        <v>45496.444409722222</v>
      </c>
      <c r="B60" s="2" t="s">
        <v>327</v>
      </c>
      <c r="C60" s="2">
        <v>27</v>
      </c>
      <c r="D60" s="2" t="s">
        <v>32</v>
      </c>
      <c r="E60" s="2" t="s">
        <v>33</v>
      </c>
      <c r="F60" s="2">
        <v>0</v>
      </c>
      <c r="G60" s="2">
        <v>92.8</v>
      </c>
      <c r="H60" s="2">
        <v>54</v>
      </c>
      <c r="I60" s="2">
        <v>58.189655170000002</v>
      </c>
      <c r="J60" s="2" t="s">
        <v>123</v>
      </c>
      <c r="K60" s="2">
        <v>4</v>
      </c>
      <c r="L60" s="2" t="s">
        <v>35</v>
      </c>
      <c r="M60" s="2"/>
      <c r="N60" s="2"/>
      <c r="O60" s="2"/>
      <c r="P60" s="2" t="s">
        <v>33</v>
      </c>
      <c r="Q60" s="2" t="s">
        <v>328</v>
      </c>
      <c r="R60" s="2" t="s">
        <v>329</v>
      </c>
      <c r="S60" s="2" t="s">
        <v>329</v>
      </c>
      <c r="T60" s="2">
        <v>16936180935</v>
      </c>
      <c r="U60" s="2">
        <v>16936180935</v>
      </c>
      <c r="V60" s="2" t="s">
        <v>330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40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x14ac:dyDescent="0.2">
      <c r="A61" s="1">
        <v>45496.461192129631</v>
      </c>
      <c r="B61" s="2" t="s">
        <v>331</v>
      </c>
      <c r="C61" s="2">
        <v>48</v>
      </c>
      <c r="D61" s="2" t="s">
        <v>54</v>
      </c>
      <c r="E61" s="2" t="s">
        <v>33</v>
      </c>
      <c r="F61" s="2">
        <v>11</v>
      </c>
      <c r="G61" s="2">
        <v>74.62</v>
      </c>
      <c r="H61" s="2">
        <v>60</v>
      </c>
      <c r="I61" s="2">
        <v>80.40739748</v>
      </c>
      <c r="J61" s="2" t="s">
        <v>49</v>
      </c>
      <c r="K61" s="2">
        <v>3</v>
      </c>
      <c r="L61" s="2" t="s">
        <v>35</v>
      </c>
      <c r="M61" s="2"/>
      <c r="N61" s="2"/>
      <c r="O61" s="2"/>
      <c r="P61" s="2" t="s">
        <v>33</v>
      </c>
      <c r="Q61" s="2" t="s">
        <v>332</v>
      </c>
      <c r="R61" s="2" t="s">
        <v>333</v>
      </c>
      <c r="S61" s="2" t="s">
        <v>333</v>
      </c>
      <c r="T61" s="2">
        <v>16997275470</v>
      </c>
      <c r="U61" s="2" t="s">
        <v>334</v>
      </c>
      <c r="V61" s="2" t="s">
        <v>335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  <c r="AD61" s="2" t="s">
        <v>40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x14ac:dyDescent="0.2">
      <c r="A62" s="1">
        <v>45496.466840277775</v>
      </c>
      <c r="B62" s="2" t="s">
        <v>336</v>
      </c>
      <c r="C62" s="2">
        <v>45</v>
      </c>
      <c r="D62" s="2" t="s">
        <v>54</v>
      </c>
      <c r="E62" s="2" t="s">
        <v>33</v>
      </c>
      <c r="F62" s="2">
        <v>7</v>
      </c>
      <c r="G62" s="2">
        <v>81.95</v>
      </c>
      <c r="H62" s="2">
        <v>64</v>
      </c>
      <c r="I62" s="2">
        <v>78.096400239999994</v>
      </c>
      <c r="J62" s="2" t="s">
        <v>90</v>
      </c>
      <c r="K62" s="2">
        <v>5</v>
      </c>
      <c r="L62" s="2" t="s">
        <v>35</v>
      </c>
      <c r="M62" s="2"/>
      <c r="N62" s="2"/>
      <c r="O62" s="2"/>
      <c r="P62" s="2" t="s">
        <v>33</v>
      </c>
      <c r="Q62" s="2" t="s">
        <v>337</v>
      </c>
      <c r="R62" s="2" t="s">
        <v>338</v>
      </c>
      <c r="S62" s="2" t="s">
        <v>339</v>
      </c>
      <c r="T62" s="2">
        <v>16991002595</v>
      </c>
      <c r="U62" s="2" t="s">
        <v>340</v>
      </c>
      <c r="V62" s="2" t="s">
        <v>341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40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x14ac:dyDescent="0.2">
      <c r="A63" s="1">
        <v>45496.474988425929</v>
      </c>
      <c r="B63" s="2" t="s">
        <v>342</v>
      </c>
      <c r="C63" s="2">
        <v>26</v>
      </c>
      <c r="D63" s="2" t="s">
        <v>54</v>
      </c>
      <c r="E63" s="2" t="s">
        <v>33</v>
      </c>
      <c r="F63" s="2">
        <v>7</v>
      </c>
      <c r="G63" s="2">
        <v>78.75</v>
      </c>
      <c r="H63" s="2">
        <v>64</v>
      </c>
      <c r="I63" s="2">
        <v>81.269841270000001</v>
      </c>
      <c r="J63" s="2" t="s">
        <v>49</v>
      </c>
      <c r="K63" s="2">
        <v>5</v>
      </c>
      <c r="L63" s="2" t="s">
        <v>35</v>
      </c>
      <c r="M63" s="2"/>
      <c r="N63" s="2"/>
      <c r="O63" s="2"/>
      <c r="P63" s="2" t="s">
        <v>35</v>
      </c>
      <c r="Q63" s="2"/>
      <c r="R63" s="2" t="s">
        <v>343</v>
      </c>
      <c r="S63" s="2" t="s">
        <v>344</v>
      </c>
      <c r="T63" s="2">
        <v>16992404334</v>
      </c>
      <c r="U63" s="2">
        <v>16992683323</v>
      </c>
      <c r="V63" s="2" t="s">
        <v>345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40</v>
      </c>
      <c r="AE63" s="3" t="s">
        <v>346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x14ac:dyDescent="0.2">
      <c r="A64" s="1">
        <v>45496.760925925926</v>
      </c>
      <c r="B64" s="2" t="s">
        <v>347</v>
      </c>
      <c r="C64" s="2">
        <v>29</v>
      </c>
      <c r="D64" s="2" t="s">
        <v>54</v>
      </c>
      <c r="E64" s="2" t="s">
        <v>33</v>
      </c>
      <c r="F64" s="2">
        <v>5</v>
      </c>
      <c r="G64" s="2">
        <v>64.849999999999994</v>
      </c>
      <c r="H64" s="2">
        <v>44</v>
      </c>
      <c r="I64" s="2">
        <v>67.848882040000007</v>
      </c>
      <c r="J64" s="2" t="s">
        <v>49</v>
      </c>
      <c r="K64" s="2">
        <v>4</v>
      </c>
      <c r="L64" s="2" t="s">
        <v>35</v>
      </c>
      <c r="M64" s="2"/>
      <c r="N64" s="2"/>
      <c r="O64" s="2"/>
      <c r="P64" s="2" t="s">
        <v>35</v>
      </c>
      <c r="Q64" s="2"/>
      <c r="R64" s="2" t="s">
        <v>348</v>
      </c>
      <c r="S64" s="2" t="s">
        <v>348</v>
      </c>
      <c r="T64" s="2">
        <v>16992433567</v>
      </c>
      <c r="U64" s="2">
        <v>16992345673</v>
      </c>
      <c r="V64" s="2" t="s">
        <v>349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40</v>
      </c>
      <c r="AE64" s="3" t="s">
        <v>350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x14ac:dyDescent="0.2">
      <c r="A65" s="1">
        <v>45497.860532407409</v>
      </c>
      <c r="B65" s="2" t="s">
        <v>351</v>
      </c>
      <c r="C65" s="2">
        <v>23</v>
      </c>
      <c r="D65" s="2" t="s">
        <v>32</v>
      </c>
      <c r="E65" s="2" t="s">
        <v>33</v>
      </c>
      <c r="F65" s="2">
        <v>9</v>
      </c>
      <c r="G65" s="2">
        <v>54.45</v>
      </c>
      <c r="H65" s="2">
        <v>32</v>
      </c>
      <c r="I65" s="2">
        <v>58.769513310000001</v>
      </c>
      <c r="J65" s="2" t="s">
        <v>49</v>
      </c>
      <c r="K65" s="2">
        <v>6</v>
      </c>
      <c r="L65" s="2" t="s">
        <v>35</v>
      </c>
      <c r="M65" s="2"/>
      <c r="N65" s="2"/>
      <c r="O65" s="2"/>
      <c r="P65" s="2" t="s">
        <v>33</v>
      </c>
      <c r="Q65" s="2" t="s">
        <v>352</v>
      </c>
      <c r="R65" s="2" t="s">
        <v>353</v>
      </c>
      <c r="S65" s="2" t="s">
        <v>353</v>
      </c>
      <c r="T65" s="2">
        <v>13996050144</v>
      </c>
      <c r="U65" s="2">
        <v>13997393140</v>
      </c>
      <c r="V65" s="2" t="s">
        <v>354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40</v>
      </c>
      <c r="AE65" s="3" t="s">
        <v>355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x14ac:dyDescent="0.2">
      <c r="A66" s="1">
        <v>45498.516585648147</v>
      </c>
      <c r="B66" s="2" t="s">
        <v>356</v>
      </c>
      <c r="C66" s="2">
        <v>31</v>
      </c>
      <c r="D66" s="2" t="s">
        <v>32</v>
      </c>
      <c r="E66" s="2" t="s">
        <v>33</v>
      </c>
      <c r="F66" s="2">
        <v>0</v>
      </c>
      <c r="G66" s="2">
        <v>59.9</v>
      </c>
      <c r="H66" s="2">
        <v>30</v>
      </c>
      <c r="I66" s="2">
        <v>50.083472450000002</v>
      </c>
      <c r="J66" s="2" t="s">
        <v>49</v>
      </c>
      <c r="K66" s="2">
        <v>5</v>
      </c>
      <c r="L66" s="2" t="s">
        <v>33</v>
      </c>
      <c r="M66" s="2" t="s">
        <v>357</v>
      </c>
      <c r="N66" s="2" t="s">
        <v>358</v>
      </c>
      <c r="O66" s="2" t="s">
        <v>359</v>
      </c>
      <c r="P66" s="2" t="s">
        <v>35</v>
      </c>
      <c r="Q66" s="2"/>
      <c r="R66" s="2" t="s">
        <v>360</v>
      </c>
      <c r="S66" s="2" t="s">
        <v>361</v>
      </c>
      <c r="T66" s="2">
        <v>16993473131</v>
      </c>
      <c r="U66" s="2" t="s">
        <v>362</v>
      </c>
      <c r="V66" s="2" t="s">
        <v>363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40</v>
      </c>
      <c r="AE66" s="3" t="s">
        <v>364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x14ac:dyDescent="0.2">
      <c r="A67" s="1">
        <v>45498.602881944447</v>
      </c>
      <c r="B67" s="2" t="s">
        <v>365</v>
      </c>
      <c r="C67" s="2">
        <v>29</v>
      </c>
      <c r="D67" s="2" t="s">
        <v>54</v>
      </c>
      <c r="E67" s="2" t="s">
        <v>33</v>
      </c>
      <c r="F67" s="2">
        <v>2</v>
      </c>
      <c r="G67" s="2">
        <v>90.35</v>
      </c>
      <c r="H67" s="2">
        <v>60</v>
      </c>
      <c r="I67" s="2">
        <v>66.408411729999997</v>
      </c>
      <c r="J67" s="2" t="s">
        <v>49</v>
      </c>
      <c r="K67" s="2">
        <v>5</v>
      </c>
      <c r="L67" s="2" t="s">
        <v>35</v>
      </c>
      <c r="M67" s="2"/>
      <c r="N67" s="2"/>
      <c r="O67" s="2"/>
      <c r="P67" s="2" t="s">
        <v>35</v>
      </c>
      <c r="Q67" s="2"/>
      <c r="R67" s="2" t="s">
        <v>366</v>
      </c>
      <c r="S67" s="2" t="s">
        <v>366</v>
      </c>
      <c r="T67" s="2">
        <v>16993506738</v>
      </c>
      <c r="U67" s="2">
        <v>1639524009</v>
      </c>
      <c r="V67" s="2" t="s">
        <v>367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40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x14ac:dyDescent="0.2">
      <c r="A68" s="1">
        <v>45499.415856481479</v>
      </c>
      <c r="B68" s="2" t="s">
        <v>368</v>
      </c>
      <c r="C68" s="2">
        <v>30</v>
      </c>
      <c r="D68" s="2" t="s">
        <v>54</v>
      </c>
      <c r="E68" s="2" t="s">
        <v>33</v>
      </c>
      <c r="F68" s="2">
        <v>11</v>
      </c>
      <c r="G68" s="2">
        <v>71.2</v>
      </c>
      <c r="H68" s="2">
        <v>58</v>
      </c>
      <c r="I68" s="2">
        <v>81.460674159999996</v>
      </c>
      <c r="J68" s="2" t="s">
        <v>49</v>
      </c>
      <c r="K68" s="2">
        <v>5</v>
      </c>
      <c r="L68" s="2" t="s">
        <v>33</v>
      </c>
      <c r="M68" s="2" t="s">
        <v>369</v>
      </c>
      <c r="N68" s="2"/>
      <c r="O68" s="2" t="s">
        <v>370</v>
      </c>
      <c r="P68" s="2" t="s">
        <v>33</v>
      </c>
      <c r="Q68" s="2" t="s">
        <v>371</v>
      </c>
      <c r="R68" s="2" t="s">
        <v>372</v>
      </c>
      <c r="S68" s="2" t="s">
        <v>373</v>
      </c>
      <c r="T68" s="2">
        <v>12991474012</v>
      </c>
      <c r="U68" s="2">
        <v>16994452131</v>
      </c>
      <c r="V68" s="2" t="s">
        <v>374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40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x14ac:dyDescent="0.2">
      <c r="A69" s="1">
        <v>45499.490474537037</v>
      </c>
      <c r="B69" s="2" t="s">
        <v>375</v>
      </c>
      <c r="C69" s="2">
        <v>26</v>
      </c>
      <c r="D69" s="2" t="s">
        <v>54</v>
      </c>
      <c r="E69" s="2" t="s">
        <v>33</v>
      </c>
      <c r="F69" s="2">
        <v>18</v>
      </c>
      <c r="G69" s="2">
        <v>80.75</v>
      </c>
      <c r="H69" s="2">
        <v>84</v>
      </c>
      <c r="I69" s="2">
        <v>104.02476780000001</v>
      </c>
      <c r="J69" s="2" t="s">
        <v>90</v>
      </c>
      <c r="K69" s="2">
        <v>7</v>
      </c>
      <c r="L69" s="2" t="s">
        <v>33</v>
      </c>
      <c r="M69" s="2" t="s">
        <v>376</v>
      </c>
      <c r="N69" s="2" t="s">
        <v>269</v>
      </c>
      <c r="O69" s="2">
        <v>4</v>
      </c>
      <c r="P69" s="2" t="s">
        <v>35</v>
      </c>
      <c r="Q69" s="2"/>
      <c r="R69" s="2" t="s">
        <v>377</v>
      </c>
      <c r="S69" s="2" t="s">
        <v>377</v>
      </c>
      <c r="T69" s="2">
        <v>17981579309</v>
      </c>
      <c r="U69" s="2">
        <v>17981579309</v>
      </c>
      <c r="V69" s="2" t="s">
        <v>378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40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x14ac:dyDescent="0.2">
      <c r="A70" s="1">
        <v>45499.848067129627</v>
      </c>
      <c r="B70" s="2" t="s">
        <v>379</v>
      </c>
      <c r="C70" s="2">
        <v>46</v>
      </c>
      <c r="D70" s="2" t="s">
        <v>32</v>
      </c>
      <c r="E70" s="2" t="s">
        <v>33</v>
      </c>
      <c r="F70" s="2">
        <v>0</v>
      </c>
      <c r="G70" s="2">
        <v>76.95</v>
      </c>
      <c r="H70" s="2">
        <v>38</v>
      </c>
      <c r="I70" s="2">
        <v>49.382716049999999</v>
      </c>
      <c r="J70" s="2" t="s">
        <v>161</v>
      </c>
      <c r="K70" s="2">
        <v>1</v>
      </c>
      <c r="L70" s="2" t="s">
        <v>35</v>
      </c>
      <c r="M70" s="2"/>
      <c r="N70" s="2"/>
      <c r="O70" s="2"/>
      <c r="P70" s="2" t="s">
        <v>35</v>
      </c>
      <c r="Q70" s="2"/>
      <c r="R70" s="2" t="s">
        <v>380</v>
      </c>
      <c r="S70" s="2" t="s">
        <v>380</v>
      </c>
      <c r="T70" s="2">
        <v>16992949484</v>
      </c>
      <c r="U70" s="2">
        <v>16992949484</v>
      </c>
      <c r="V70" s="2" t="s">
        <v>381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40</v>
      </c>
      <c r="AB70" s="2" t="s">
        <v>39</v>
      </c>
      <c r="AC70" s="2" t="s">
        <v>39</v>
      </c>
      <c r="AD70" s="2" t="s">
        <v>40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x14ac:dyDescent="0.2">
      <c r="A71" s="1">
        <v>45499.931655092594</v>
      </c>
      <c r="B71" s="2" t="s">
        <v>382</v>
      </c>
      <c r="C71" s="2">
        <v>29</v>
      </c>
      <c r="D71" s="2" t="s">
        <v>32</v>
      </c>
      <c r="E71" s="2" t="s">
        <v>33</v>
      </c>
      <c r="F71" s="2">
        <v>0</v>
      </c>
      <c r="G71" s="2">
        <v>61.2</v>
      </c>
      <c r="H71" s="2">
        <v>35</v>
      </c>
      <c r="I71" s="2">
        <v>57.18954248</v>
      </c>
      <c r="J71" s="2" t="s">
        <v>123</v>
      </c>
      <c r="K71" s="2">
        <v>3</v>
      </c>
      <c r="L71" s="2" t="s">
        <v>35</v>
      </c>
      <c r="M71" s="2"/>
      <c r="N71" s="2"/>
      <c r="O71" s="2"/>
      <c r="P71" s="2" t="s">
        <v>35</v>
      </c>
      <c r="Q71" s="2"/>
      <c r="R71" s="2" t="s">
        <v>383</v>
      </c>
      <c r="S71" s="2" t="s">
        <v>383</v>
      </c>
      <c r="T71" s="2">
        <v>16981366568</v>
      </c>
      <c r="U71" s="2" t="s">
        <v>384</v>
      </c>
      <c r="V71" s="2" t="s">
        <v>385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40</v>
      </c>
      <c r="AE71" s="3" t="s">
        <v>386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x14ac:dyDescent="0.2">
      <c r="A72" s="1">
        <v>45500.320613425924</v>
      </c>
      <c r="B72" s="2" t="s">
        <v>387</v>
      </c>
      <c r="C72" s="2">
        <v>38</v>
      </c>
      <c r="D72" s="2" t="s">
        <v>54</v>
      </c>
      <c r="E72" s="2" t="s">
        <v>33</v>
      </c>
      <c r="F72" s="2">
        <v>0</v>
      </c>
      <c r="G72" s="2">
        <v>88.45</v>
      </c>
      <c r="H72" s="2">
        <v>50</v>
      </c>
      <c r="I72" s="2">
        <v>56.529112490000003</v>
      </c>
      <c r="J72" s="2" t="s">
        <v>123</v>
      </c>
      <c r="K72" s="2">
        <v>3</v>
      </c>
      <c r="L72" s="2" t="s">
        <v>33</v>
      </c>
      <c r="M72" s="2" t="s">
        <v>56</v>
      </c>
      <c r="N72" s="2" t="s">
        <v>49</v>
      </c>
      <c r="O72" s="2">
        <v>1</v>
      </c>
      <c r="P72" s="2" t="s">
        <v>35</v>
      </c>
      <c r="Q72" s="2"/>
      <c r="R72" s="2" t="s">
        <v>388</v>
      </c>
      <c r="S72" s="2" t="s">
        <v>388</v>
      </c>
      <c r="T72" s="2">
        <v>16996129885</v>
      </c>
      <c r="U72" s="2">
        <v>16992157419</v>
      </c>
      <c r="V72" s="2" t="s">
        <v>389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40</v>
      </c>
      <c r="AB72" s="2" t="s">
        <v>39</v>
      </c>
      <c r="AC72" s="2" t="s">
        <v>39</v>
      </c>
      <c r="AD72" s="2" t="s">
        <v>40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x14ac:dyDescent="0.2">
      <c r="A73" s="1">
        <v>45500.488356481481</v>
      </c>
      <c r="B73" s="2" t="s">
        <v>390</v>
      </c>
      <c r="C73" s="2">
        <v>46</v>
      </c>
      <c r="D73" s="2" t="s">
        <v>54</v>
      </c>
      <c r="E73" s="2" t="s">
        <v>33</v>
      </c>
      <c r="F73" s="2">
        <v>7</v>
      </c>
      <c r="G73" s="2">
        <v>96.6</v>
      </c>
      <c r="H73" s="2">
        <v>74</v>
      </c>
      <c r="I73" s="2">
        <v>76.604554870000001</v>
      </c>
      <c r="J73" s="2" t="s">
        <v>161</v>
      </c>
      <c r="K73" s="2">
        <v>5</v>
      </c>
      <c r="L73" s="2" t="s">
        <v>33</v>
      </c>
      <c r="M73" s="27" t="s">
        <v>599</v>
      </c>
      <c r="N73" s="2" t="s">
        <v>231</v>
      </c>
      <c r="O73" s="2">
        <v>15</v>
      </c>
      <c r="P73" s="2" t="s">
        <v>35</v>
      </c>
      <c r="Q73" s="2"/>
      <c r="R73" s="2" t="s">
        <v>391</v>
      </c>
      <c r="S73" s="2" t="s">
        <v>391</v>
      </c>
      <c r="T73" s="2">
        <v>16988073223</v>
      </c>
      <c r="U73" s="2">
        <v>16988073223</v>
      </c>
      <c r="V73" s="2" t="s">
        <v>392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40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x14ac:dyDescent="0.2">
      <c r="A74" s="1">
        <v>45503.595254629632</v>
      </c>
      <c r="B74" s="2" t="s">
        <v>393</v>
      </c>
      <c r="C74" s="2">
        <v>25</v>
      </c>
      <c r="D74" s="2" t="s">
        <v>54</v>
      </c>
      <c r="E74" s="2" t="s">
        <v>33</v>
      </c>
      <c r="F74" s="2">
        <v>0</v>
      </c>
      <c r="G74" s="2">
        <v>81.05</v>
      </c>
      <c r="H74" s="2">
        <v>46</v>
      </c>
      <c r="I74" s="2">
        <v>56.75508945</v>
      </c>
      <c r="J74" s="2" t="s">
        <v>49</v>
      </c>
      <c r="K74" s="2">
        <v>4</v>
      </c>
      <c r="L74" s="2" t="s">
        <v>33</v>
      </c>
      <c r="M74" s="2" t="s">
        <v>394</v>
      </c>
      <c r="N74" s="2" t="s">
        <v>49</v>
      </c>
      <c r="O74" s="2">
        <v>2</v>
      </c>
      <c r="P74" s="2"/>
      <c r="Q74" s="2"/>
      <c r="R74" s="2" t="s">
        <v>395</v>
      </c>
      <c r="S74" s="2" t="s">
        <v>395</v>
      </c>
      <c r="T74" s="2">
        <v>34992737760</v>
      </c>
      <c r="U74" s="2">
        <v>34999615625</v>
      </c>
      <c r="V74" s="2" t="s">
        <v>396</v>
      </c>
      <c r="W74" s="2" t="s">
        <v>39</v>
      </c>
      <c r="X74" s="2" t="s">
        <v>39</v>
      </c>
      <c r="Y74" s="2" t="s">
        <v>39</v>
      </c>
      <c r="Z74" s="2" t="s">
        <v>40</v>
      </c>
      <c r="AA74" s="2" t="s">
        <v>39</v>
      </c>
      <c r="AB74" s="2" t="s">
        <v>39</v>
      </c>
      <c r="AC74" s="2" t="s">
        <v>39</v>
      </c>
      <c r="AD74" s="2" t="s">
        <v>40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x14ac:dyDescent="0.2">
      <c r="A75" s="1">
        <v>45503.624652777777</v>
      </c>
      <c r="B75" s="2" t="s">
        <v>397</v>
      </c>
      <c r="C75" s="2">
        <v>25</v>
      </c>
      <c r="D75" s="2" t="s">
        <v>54</v>
      </c>
      <c r="E75" s="2" t="s">
        <v>33</v>
      </c>
      <c r="F75" s="2">
        <v>0</v>
      </c>
      <c r="G75" s="2">
        <v>75.55</v>
      </c>
      <c r="H75" s="2">
        <v>50</v>
      </c>
      <c r="I75" s="2">
        <v>66.181336860000002</v>
      </c>
      <c r="J75" s="2" t="s">
        <v>69</v>
      </c>
      <c r="K75" s="2">
        <v>3</v>
      </c>
      <c r="L75" s="2" t="s">
        <v>33</v>
      </c>
      <c r="M75" s="2" t="s">
        <v>398</v>
      </c>
      <c r="N75" s="2" t="s">
        <v>63</v>
      </c>
      <c r="O75" s="2">
        <v>5</v>
      </c>
      <c r="P75" s="2" t="s">
        <v>35</v>
      </c>
      <c r="Q75" s="2"/>
      <c r="R75" s="2" t="s">
        <v>399</v>
      </c>
      <c r="S75" s="2" t="s">
        <v>400</v>
      </c>
      <c r="T75" s="2">
        <v>1991759634</v>
      </c>
      <c r="U75" s="2" t="s">
        <v>401</v>
      </c>
      <c r="V75" s="2" t="s">
        <v>402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40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x14ac:dyDescent="0.2">
      <c r="A76" s="1">
        <v>45503.711226851854</v>
      </c>
      <c r="B76" s="2" t="s">
        <v>403</v>
      </c>
      <c r="C76" s="2">
        <v>32</v>
      </c>
      <c r="D76" s="2" t="s">
        <v>54</v>
      </c>
      <c r="E76" s="2" t="s">
        <v>33</v>
      </c>
      <c r="F76" s="2">
        <v>25</v>
      </c>
      <c r="G76" s="2">
        <v>86.35</v>
      </c>
      <c r="H76" s="2">
        <v>74</v>
      </c>
      <c r="I76" s="2">
        <v>85.697741750000006</v>
      </c>
      <c r="J76" s="2" t="s">
        <v>49</v>
      </c>
      <c r="K76" s="2">
        <v>13</v>
      </c>
      <c r="L76" s="2" t="s">
        <v>33</v>
      </c>
      <c r="M76" s="2" t="s">
        <v>404</v>
      </c>
      <c r="N76" s="27" t="s">
        <v>615</v>
      </c>
      <c r="O76" s="2" t="s">
        <v>405</v>
      </c>
      <c r="P76" s="2" t="s">
        <v>35</v>
      </c>
      <c r="Q76" s="2"/>
      <c r="R76" s="2" t="s">
        <v>406</v>
      </c>
      <c r="S76" s="2" t="s">
        <v>406</v>
      </c>
      <c r="T76" s="2">
        <v>16991343567</v>
      </c>
      <c r="U76" s="2">
        <v>16997466936</v>
      </c>
      <c r="V76" s="2" t="s">
        <v>407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40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x14ac:dyDescent="0.2">
      <c r="A77" s="1">
        <v>45504.742152777777</v>
      </c>
      <c r="B77" s="2" t="s">
        <v>408</v>
      </c>
      <c r="C77" s="2">
        <v>23</v>
      </c>
      <c r="D77" s="2" t="s">
        <v>54</v>
      </c>
      <c r="E77" s="2" t="s">
        <v>33</v>
      </c>
      <c r="F77" s="2">
        <v>20</v>
      </c>
      <c r="G77" s="2">
        <v>79.900000000000006</v>
      </c>
      <c r="H77" s="2">
        <v>66</v>
      </c>
      <c r="I77" s="2">
        <v>82.603254070000006</v>
      </c>
      <c r="J77" s="2" t="s">
        <v>90</v>
      </c>
      <c r="K77" s="2">
        <v>10</v>
      </c>
      <c r="L77" s="2" t="s">
        <v>35</v>
      </c>
      <c r="M77" s="2"/>
      <c r="N77" s="2"/>
      <c r="O77" s="2"/>
      <c r="P77" s="2" t="s">
        <v>33</v>
      </c>
      <c r="Q77" s="2" t="s">
        <v>409</v>
      </c>
      <c r="R77" s="2" t="s">
        <v>410</v>
      </c>
      <c r="S77" s="2" t="s">
        <v>410</v>
      </c>
      <c r="T77" s="2">
        <v>16994552099</v>
      </c>
      <c r="U77" s="2">
        <v>16994552099</v>
      </c>
      <c r="V77" s="2" t="s">
        <v>411</v>
      </c>
      <c r="W77" s="2" t="s">
        <v>39</v>
      </c>
      <c r="X77" s="2" t="s">
        <v>39</v>
      </c>
      <c r="Y77" s="2" t="s">
        <v>39</v>
      </c>
      <c r="Z77" s="2" t="s">
        <v>40</v>
      </c>
      <c r="AA77" s="2" t="s">
        <v>40</v>
      </c>
      <c r="AB77" s="2" t="s">
        <v>39</v>
      </c>
      <c r="AC77" s="2" t="s">
        <v>39</v>
      </c>
      <c r="AD77" s="2" t="s">
        <v>40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x14ac:dyDescent="0.2">
      <c r="A78" s="1">
        <v>45505.638877314814</v>
      </c>
      <c r="B78" s="2" t="s">
        <v>412</v>
      </c>
      <c r="C78" s="2">
        <v>30</v>
      </c>
      <c r="D78" s="2" t="s">
        <v>32</v>
      </c>
      <c r="E78" s="2" t="s">
        <v>33</v>
      </c>
      <c r="F78" s="2">
        <v>0</v>
      </c>
      <c r="G78" s="2">
        <v>74.3</v>
      </c>
      <c r="H78" s="2">
        <v>27</v>
      </c>
      <c r="I78" s="2">
        <v>36.339165549999997</v>
      </c>
      <c r="J78" s="2" t="s">
        <v>49</v>
      </c>
      <c r="K78" s="2">
        <v>4</v>
      </c>
      <c r="L78" s="2" t="s">
        <v>33</v>
      </c>
      <c r="M78" s="2" t="s">
        <v>413</v>
      </c>
      <c r="N78" s="2" t="s">
        <v>414</v>
      </c>
      <c r="O78" s="2" t="s">
        <v>415</v>
      </c>
      <c r="P78" s="2" t="s">
        <v>184</v>
      </c>
      <c r="Q78" s="2"/>
      <c r="R78" s="2" t="s">
        <v>416</v>
      </c>
      <c r="S78" s="2" t="s">
        <v>416</v>
      </c>
      <c r="T78" s="2">
        <v>16992265293</v>
      </c>
      <c r="U78" s="2">
        <v>16981147669</v>
      </c>
      <c r="V78" s="2" t="s">
        <v>417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40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x14ac:dyDescent="0.2">
      <c r="A79" s="1">
        <v>45505.723981481482</v>
      </c>
      <c r="B79" s="2" t="s">
        <v>418</v>
      </c>
      <c r="C79" s="2">
        <v>36</v>
      </c>
      <c r="D79" s="2" t="s">
        <v>54</v>
      </c>
      <c r="E79" s="2" t="s">
        <v>33</v>
      </c>
      <c r="F79" s="2">
        <v>10</v>
      </c>
      <c r="G79" s="2">
        <v>87.1</v>
      </c>
      <c r="H79" s="2">
        <v>72</v>
      </c>
      <c r="I79" s="2">
        <v>82.663605050000001</v>
      </c>
      <c r="J79" s="2" t="s">
        <v>63</v>
      </c>
      <c r="K79" s="2">
        <v>5</v>
      </c>
      <c r="L79" s="2" t="s">
        <v>33</v>
      </c>
      <c r="M79" s="27" t="s">
        <v>610</v>
      </c>
      <c r="N79" s="27" t="s">
        <v>609</v>
      </c>
      <c r="O79" s="2" t="s">
        <v>419</v>
      </c>
      <c r="P79" s="2" t="s">
        <v>35</v>
      </c>
      <c r="Q79" s="2"/>
      <c r="R79" s="2" t="s">
        <v>420</v>
      </c>
      <c r="S79" s="2" t="s">
        <v>421</v>
      </c>
      <c r="T79" s="2">
        <v>16991814552</v>
      </c>
      <c r="U79" s="2" t="s">
        <v>422</v>
      </c>
      <c r="V79" s="2" t="s">
        <v>423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40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x14ac:dyDescent="0.2">
      <c r="A80" s="1">
        <v>45506.36859953704</v>
      </c>
      <c r="B80" s="2" t="s">
        <v>424</v>
      </c>
      <c r="C80" s="2">
        <v>31</v>
      </c>
      <c r="D80" s="2" t="s">
        <v>32</v>
      </c>
      <c r="E80" s="2" t="s">
        <v>33</v>
      </c>
      <c r="F80" s="2">
        <v>3</v>
      </c>
      <c r="G80" s="2">
        <v>68.95</v>
      </c>
      <c r="H80" s="2">
        <v>44</v>
      </c>
      <c r="I80" s="2">
        <v>63.814358230000003</v>
      </c>
      <c r="J80" s="2" t="s">
        <v>161</v>
      </c>
      <c r="K80" s="2">
        <v>6</v>
      </c>
      <c r="L80" s="2" t="s">
        <v>35</v>
      </c>
      <c r="M80" s="2"/>
      <c r="N80" s="2"/>
      <c r="O80" s="2"/>
      <c r="P80" s="2" t="s">
        <v>33</v>
      </c>
      <c r="Q80" s="2" t="s">
        <v>425</v>
      </c>
      <c r="R80" s="2" t="s">
        <v>426</v>
      </c>
      <c r="S80" s="2" t="s">
        <v>427</v>
      </c>
      <c r="T80" s="2">
        <v>16991241799</v>
      </c>
      <c r="U80" s="2">
        <v>16991241799</v>
      </c>
      <c r="V80" s="2" t="s">
        <v>428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40</v>
      </c>
      <c r="AE80" s="3" t="s">
        <v>429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x14ac:dyDescent="0.2">
      <c r="A81" s="1">
        <v>45506.435034722221</v>
      </c>
      <c r="B81" s="2" t="s">
        <v>430</v>
      </c>
      <c r="C81" s="2">
        <v>38</v>
      </c>
      <c r="D81" s="2" t="s">
        <v>32</v>
      </c>
      <c r="E81" s="2" t="s">
        <v>35</v>
      </c>
      <c r="F81" s="2">
        <v>0</v>
      </c>
      <c r="G81" s="2">
        <v>63.65</v>
      </c>
      <c r="H81" s="2">
        <v>27</v>
      </c>
      <c r="I81" s="2">
        <v>42.41948154</v>
      </c>
      <c r="J81" s="2" t="s">
        <v>49</v>
      </c>
      <c r="K81" s="2">
        <v>4</v>
      </c>
      <c r="L81" s="2" t="s">
        <v>35</v>
      </c>
      <c r="M81" s="2"/>
      <c r="N81" s="2"/>
      <c r="O81" s="2"/>
      <c r="P81" s="2" t="s">
        <v>184</v>
      </c>
      <c r="Q81" s="2"/>
      <c r="R81" s="2" t="s">
        <v>431</v>
      </c>
      <c r="S81" s="2" t="s">
        <v>432</v>
      </c>
      <c r="T81" s="2">
        <v>16992990389</v>
      </c>
      <c r="U81" s="2">
        <v>16996381616</v>
      </c>
      <c r="V81" s="2" t="s">
        <v>433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40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x14ac:dyDescent="0.2">
      <c r="A82" s="1">
        <v>45506.493113425924</v>
      </c>
      <c r="B82" s="2" t="s">
        <v>434</v>
      </c>
      <c r="C82" s="2">
        <v>30</v>
      </c>
      <c r="D82" s="2" t="s">
        <v>54</v>
      </c>
      <c r="E82" s="2" t="s">
        <v>33</v>
      </c>
      <c r="F82" s="2">
        <v>1</v>
      </c>
      <c r="G82" s="2">
        <v>70.349999999999994</v>
      </c>
      <c r="H82" s="2">
        <v>44</v>
      </c>
      <c r="I82" s="2">
        <v>62.54442075</v>
      </c>
      <c r="J82" s="2" t="s">
        <v>55</v>
      </c>
      <c r="K82" s="2">
        <v>5</v>
      </c>
      <c r="L82" s="2" t="s">
        <v>33</v>
      </c>
      <c r="M82" s="2" t="s">
        <v>435</v>
      </c>
      <c r="N82" s="2" t="s">
        <v>63</v>
      </c>
      <c r="O82" s="2">
        <v>2</v>
      </c>
      <c r="P82" s="2" t="s">
        <v>33</v>
      </c>
      <c r="Q82" s="2" t="s">
        <v>436</v>
      </c>
      <c r="R82" s="2" t="s">
        <v>437</v>
      </c>
      <c r="S82" s="2" t="s">
        <v>437</v>
      </c>
      <c r="T82" s="2">
        <v>16991605544</v>
      </c>
      <c r="U82" s="2">
        <v>16982706038</v>
      </c>
      <c r="V82" s="2" t="s">
        <v>438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40</v>
      </c>
      <c r="AE82" s="3" t="s">
        <v>439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x14ac:dyDescent="0.2">
      <c r="A83" s="1">
        <v>45507.867094907408</v>
      </c>
      <c r="B83" s="2" t="s">
        <v>440</v>
      </c>
      <c r="C83" s="2">
        <v>30</v>
      </c>
      <c r="D83" s="2" t="s">
        <v>54</v>
      </c>
      <c r="E83" s="2" t="s">
        <v>33</v>
      </c>
      <c r="F83" s="2">
        <v>17</v>
      </c>
      <c r="G83" s="2">
        <v>81.3</v>
      </c>
      <c r="H83" s="2">
        <v>64</v>
      </c>
      <c r="I83" s="2">
        <v>78.720787209999997</v>
      </c>
      <c r="J83" s="2" t="s">
        <v>90</v>
      </c>
      <c r="K83" s="2">
        <v>6</v>
      </c>
      <c r="L83" s="2" t="s">
        <v>33</v>
      </c>
      <c r="M83" s="2" t="s">
        <v>394</v>
      </c>
      <c r="N83" s="2" t="s">
        <v>441</v>
      </c>
      <c r="O83" s="2">
        <v>2</v>
      </c>
      <c r="P83" s="2" t="s">
        <v>184</v>
      </c>
      <c r="Q83" s="2"/>
      <c r="R83" s="2" t="s">
        <v>442</v>
      </c>
      <c r="S83" s="2" t="s">
        <v>442</v>
      </c>
      <c r="T83" s="2">
        <v>16996140235</v>
      </c>
      <c r="U83" s="2">
        <v>16996140235</v>
      </c>
      <c r="V83" s="2" t="s">
        <v>443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40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x14ac:dyDescent="0.2">
      <c r="A84" s="1">
        <v>45509.706157407411</v>
      </c>
      <c r="B84" s="2" t="s">
        <v>444</v>
      </c>
      <c r="C84" s="2">
        <v>20</v>
      </c>
      <c r="D84" s="2" t="s">
        <v>54</v>
      </c>
      <c r="E84" s="2" t="s">
        <v>33</v>
      </c>
      <c r="F84" s="2">
        <v>10</v>
      </c>
      <c r="G84" s="2">
        <v>58.8</v>
      </c>
      <c r="H84" s="2">
        <v>44</v>
      </c>
      <c r="I84" s="2">
        <v>74.829931970000004</v>
      </c>
      <c r="J84" s="2" t="s">
        <v>161</v>
      </c>
      <c r="K84" s="2">
        <v>8</v>
      </c>
      <c r="L84" s="2" t="s">
        <v>35</v>
      </c>
      <c r="M84" s="2" t="s">
        <v>445</v>
      </c>
      <c r="N84" s="27" t="s">
        <v>607</v>
      </c>
      <c r="O84" s="2"/>
      <c r="P84" s="2" t="s">
        <v>35</v>
      </c>
      <c r="Q84" s="2"/>
      <c r="R84" s="2" t="s">
        <v>446</v>
      </c>
      <c r="S84" s="2" t="s">
        <v>446</v>
      </c>
      <c r="T84" s="2">
        <v>11996473930</v>
      </c>
      <c r="U84" s="2">
        <v>11996473930</v>
      </c>
      <c r="V84" s="2" t="s">
        <v>447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40</v>
      </c>
      <c r="AE84" s="3" t="s">
        <v>448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x14ac:dyDescent="0.2">
      <c r="A85" s="1">
        <v>45509.791574074072</v>
      </c>
      <c r="B85" s="2" t="s">
        <v>449</v>
      </c>
      <c r="C85" s="2">
        <v>28</v>
      </c>
      <c r="D85" s="2" t="s">
        <v>54</v>
      </c>
      <c r="E85" s="2" t="s">
        <v>33</v>
      </c>
      <c r="F85" s="2">
        <v>1</v>
      </c>
      <c r="G85" s="2">
        <v>86.25</v>
      </c>
      <c r="H85" s="2">
        <v>56</v>
      </c>
      <c r="I85" s="2">
        <v>64.927536230000001</v>
      </c>
      <c r="J85" s="2" t="s">
        <v>69</v>
      </c>
      <c r="K85" s="2">
        <v>6</v>
      </c>
      <c r="L85" s="2" t="s">
        <v>33</v>
      </c>
      <c r="M85" s="2" t="s">
        <v>445</v>
      </c>
      <c r="N85" s="2" t="s">
        <v>450</v>
      </c>
      <c r="O85" s="2" t="s">
        <v>451</v>
      </c>
      <c r="P85" s="2" t="s">
        <v>35</v>
      </c>
      <c r="Q85" s="2"/>
      <c r="R85" s="2" t="s">
        <v>452</v>
      </c>
      <c r="S85" s="2" t="s">
        <v>452</v>
      </c>
      <c r="T85" s="2">
        <v>77998536665</v>
      </c>
      <c r="U85" s="2">
        <v>16992687577</v>
      </c>
      <c r="V85" s="2" t="s">
        <v>453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40</v>
      </c>
      <c r="AE85" s="3" t="s">
        <v>454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x14ac:dyDescent="0.2">
      <c r="A86" s="1">
        <v>45510.370578703703</v>
      </c>
      <c r="B86" s="2" t="s">
        <v>455</v>
      </c>
      <c r="C86" s="2">
        <v>21</v>
      </c>
      <c r="D86" s="2" t="s">
        <v>54</v>
      </c>
      <c r="E86" s="2" t="s">
        <v>33</v>
      </c>
      <c r="F86" s="2">
        <v>7</v>
      </c>
      <c r="G86" s="2">
        <v>71.650000000000006</v>
      </c>
      <c r="H86" s="2">
        <v>48</v>
      </c>
      <c r="I86" s="2">
        <v>66.992323799999994</v>
      </c>
      <c r="J86" s="2" t="s">
        <v>90</v>
      </c>
      <c r="K86" s="2">
        <v>10</v>
      </c>
      <c r="L86" s="2" t="s">
        <v>33</v>
      </c>
      <c r="M86" s="2" t="s">
        <v>445</v>
      </c>
      <c r="N86" s="27" t="s">
        <v>90</v>
      </c>
      <c r="O86" s="2">
        <v>4</v>
      </c>
      <c r="P86" s="2" t="s">
        <v>35</v>
      </c>
      <c r="Q86" s="2"/>
      <c r="R86" s="2" t="s">
        <v>456</v>
      </c>
      <c r="S86" s="2" t="s">
        <v>456</v>
      </c>
      <c r="T86" s="2">
        <v>16993201678</v>
      </c>
      <c r="U86" s="2">
        <v>16991594450</v>
      </c>
      <c r="V86" s="2" t="s">
        <v>457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40</v>
      </c>
      <c r="AE86" s="3" t="s">
        <v>458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x14ac:dyDescent="0.2">
      <c r="A87" s="1">
        <v>45510.452465277776</v>
      </c>
      <c r="B87" s="2" t="s">
        <v>459</v>
      </c>
      <c r="C87" s="2">
        <v>40</v>
      </c>
      <c r="D87" s="2" t="s">
        <v>32</v>
      </c>
      <c r="E87" s="2" t="s">
        <v>33</v>
      </c>
      <c r="F87" s="2">
        <v>1</v>
      </c>
      <c r="G87" s="2">
        <v>64.2</v>
      </c>
      <c r="H87" s="2">
        <v>42</v>
      </c>
      <c r="I87" s="2">
        <v>65.420560750000007</v>
      </c>
      <c r="J87" s="2" t="s">
        <v>161</v>
      </c>
      <c r="K87" s="2">
        <v>4</v>
      </c>
      <c r="L87" s="2" t="s">
        <v>33</v>
      </c>
      <c r="M87" s="2" t="s">
        <v>460</v>
      </c>
      <c r="N87" s="2" t="s">
        <v>461</v>
      </c>
      <c r="O87" s="2" t="s">
        <v>462</v>
      </c>
      <c r="P87" s="2" t="s">
        <v>33</v>
      </c>
      <c r="Q87" s="2" t="s">
        <v>463</v>
      </c>
      <c r="R87" s="2" t="s">
        <v>464</v>
      </c>
      <c r="S87" s="2" t="s">
        <v>464</v>
      </c>
      <c r="T87" s="2">
        <v>16992789288</v>
      </c>
      <c r="U87" s="2" t="s">
        <v>595</v>
      </c>
      <c r="V87" s="2" t="s">
        <v>465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40</v>
      </c>
      <c r="AE87" s="3" t="s">
        <v>466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x14ac:dyDescent="0.2">
      <c r="A88" s="1">
        <v>45510.51767361111</v>
      </c>
      <c r="B88" s="2" t="s">
        <v>467</v>
      </c>
      <c r="C88" s="2">
        <v>40</v>
      </c>
      <c r="D88" s="2" t="s">
        <v>32</v>
      </c>
      <c r="E88" s="2" t="s">
        <v>33</v>
      </c>
      <c r="F88" s="2">
        <v>0</v>
      </c>
      <c r="G88" s="2">
        <v>58.2</v>
      </c>
      <c r="H88" s="2">
        <v>31</v>
      </c>
      <c r="I88" s="2">
        <v>53.264604810000002</v>
      </c>
      <c r="J88" s="2" t="s">
        <v>161</v>
      </c>
      <c r="K88" s="2">
        <v>7</v>
      </c>
      <c r="L88" s="2" t="s">
        <v>33</v>
      </c>
      <c r="M88" s="27" t="s">
        <v>468</v>
      </c>
      <c r="N88" s="2"/>
      <c r="O88" s="2" t="s">
        <v>469</v>
      </c>
      <c r="P88" s="2" t="s">
        <v>33</v>
      </c>
      <c r="Q88" s="2" t="s">
        <v>470</v>
      </c>
      <c r="R88" s="2" t="s">
        <v>471</v>
      </c>
      <c r="S88" s="2" t="s">
        <v>471</v>
      </c>
      <c r="T88" s="2">
        <v>17996327736</v>
      </c>
      <c r="U88" s="2">
        <v>17996327736</v>
      </c>
      <c r="V88" s="2" t="s">
        <v>472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40</v>
      </c>
      <c r="AE88" s="3" t="s">
        <v>473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x14ac:dyDescent="0.2">
      <c r="A89" s="1">
        <v>45511.44358796296</v>
      </c>
      <c r="B89" s="2" t="s">
        <v>474</v>
      </c>
      <c r="C89" s="2">
        <v>21</v>
      </c>
      <c r="D89" s="2" t="s">
        <v>32</v>
      </c>
      <c r="E89" s="2" t="s">
        <v>33</v>
      </c>
      <c r="F89" s="2">
        <v>0</v>
      </c>
      <c r="G89" s="2">
        <v>68.25</v>
      </c>
      <c r="H89" s="2">
        <v>29</v>
      </c>
      <c r="I89" s="2">
        <v>42.490842489999999</v>
      </c>
      <c r="J89" s="2" t="s">
        <v>49</v>
      </c>
      <c r="K89" s="2">
        <v>3</v>
      </c>
      <c r="L89" s="2" t="s">
        <v>33</v>
      </c>
      <c r="M89" s="2" t="s">
        <v>475</v>
      </c>
      <c r="N89" s="2"/>
      <c r="O89" s="2" t="s">
        <v>476</v>
      </c>
      <c r="P89" s="2" t="s">
        <v>35</v>
      </c>
      <c r="Q89" s="2"/>
      <c r="R89" s="2" t="s">
        <v>477</v>
      </c>
      <c r="S89" s="2" t="s">
        <v>478</v>
      </c>
      <c r="T89" s="2">
        <v>16981359601</v>
      </c>
      <c r="U89" s="2">
        <v>16982126469</v>
      </c>
      <c r="V89" s="2" t="s">
        <v>479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  <c r="AD89" s="2" t="s">
        <v>40</v>
      </c>
      <c r="AE89" s="3" t="s">
        <v>480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x14ac:dyDescent="0.2">
      <c r="A90" s="1">
        <v>45511.472372685188</v>
      </c>
      <c r="B90" s="2" t="s">
        <v>481</v>
      </c>
      <c r="C90" s="2">
        <v>20</v>
      </c>
      <c r="D90" s="2" t="s">
        <v>54</v>
      </c>
      <c r="E90" s="2" t="s">
        <v>33</v>
      </c>
      <c r="F90" s="2">
        <v>5</v>
      </c>
      <c r="G90" s="2">
        <v>87.45</v>
      </c>
      <c r="H90" s="2">
        <v>60</v>
      </c>
      <c r="I90" s="2">
        <v>68.610634649999994</v>
      </c>
      <c r="J90" s="2" t="s">
        <v>49</v>
      </c>
      <c r="K90" s="2">
        <v>6</v>
      </c>
      <c r="L90" s="2" t="s">
        <v>35</v>
      </c>
      <c r="M90" s="2" t="s">
        <v>482</v>
      </c>
      <c r="N90" s="27" t="s">
        <v>611</v>
      </c>
      <c r="O90" s="2"/>
      <c r="P90" s="2"/>
      <c r="Q90" s="2"/>
      <c r="R90" s="2" t="s">
        <v>483</v>
      </c>
      <c r="S90" s="2" t="s">
        <v>483</v>
      </c>
      <c r="T90" s="2">
        <v>19987261230</v>
      </c>
      <c r="U90" s="2" t="s">
        <v>484</v>
      </c>
      <c r="V90" s="2" t="s">
        <v>485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40</v>
      </c>
      <c r="AE90" s="3" t="s">
        <v>486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x14ac:dyDescent="0.2">
      <c r="A91" s="1">
        <v>45512.649976851855</v>
      </c>
      <c r="B91" s="2" t="s">
        <v>487</v>
      </c>
      <c r="C91" s="2">
        <v>24</v>
      </c>
      <c r="D91" s="2" t="s">
        <v>54</v>
      </c>
      <c r="E91" s="2" t="s">
        <v>33</v>
      </c>
      <c r="F91" s="2">
        <v>24</v>
      </c>
      <c r="G91" s="2">
        <v>96.45</v>
      </c>
      <c r="H91" s="2">
        <v>100</v>
      </c>
      <c r="I91" s="2">
        <v>103.6806636</v>
      </c>
      <c r="J91" s="2" t="s">
        <v>90</v>
      </c>
      <c r="K91" s="2">
        <v>24</v>
      </c>
      <c r="L91" s="2" t="s">
        <v>35</v>
      </c>
      <c r="M91" s="2"/>
      <c r="N91" s="2"/>
      <c r="O91" s="2"/>
      <c r="P91" s="2" t="s">
        <v>184</v>
      </c>
      <c r="Q91" s="2"/>
      <c r="R91" s="2" t="s">
        <v>488</v>
      </c>
      <c r="S91" s="2" t="s">
        <v>488</v>
      </c>
      <c r="T91" s="2">
        <v>16992756544</v>
      </c>
      <c r="U91" s="2" t="s">
        <v>489</v>
      </c>
      <c r="V91" s="2" t="s">
        <v>490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40</v>
      </c>
      <c r="AE91" s="3" t="s">
        <v>491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x14ac:dyDescent="0.2">
      <c r="A92" s="1">
        <v>45513.436759259261</v>
      </c>
      <c r="B92" s="2" t="s">
        <v>492</v>
      </c>
      <c r="C92" s="2">
        <v>37</v>
      </c>
      <c r="D92" s="2" t="s">
        <v>54</v>
      </c>
      <c r="E92" s="2" t="s">
        <v>33</v>
      </c>
      <c r="F92" s="2">
        <v>3</v>
      </c>
      <c r="G92" s="2">
        <v>72.8</v>
      </c>
      <c r="H92" s="2">
        <v>50</v>
      </c>
      <c r="I92" s="2">
        <v>68.681318680000004</v>
      </c>
      <c r="J92" s="2" t="s">
        <v>90</v>
      </c>
      <c r="K92" s="2">
        <v>4</v>
      </c>
      <c r="L92" s="2" t="s">
        <v>33</v>
      </c>
      <c r="M92" s="2" t="s">
        <v>493</v>
      </c>
      <c r="N92" s="2" t="s">
        <v>494</v>
      </c>
      <c r="O92" s="2">
        <v>8</v>
      </c>
      <c r="P92" s="2" t="s">
        <v>35</v>
      </c>
      <c r="Q92" s="2"/>
      <c r="R92" s="2" t="s">
        <v>495</v>
      </c>
      <c r="S92" s="2" t="s">
        <v>495</v>
      </c>
      <c r="T92" s="2">
        <v>16981460946</v>
      </c>
      <c r="U92" s="2">
        <v>16997916740</v>
      </c>
      <c r="V92" s="2" t="s">
        <v>496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40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x14ac:dyDescent="0.2">
      <c r="A93" s="1">
        <v>45513.496469907404</v>
      </c>
      <c r="B93" s="2" t="s">
        <v>497</v>
      </c>
      <c r="C93" s="2">
        <v>22</v>
      </c>
      <c r="D93" s="2" t="s">
        <v>54</v>
      </c>
      <c r="E93" s="2" t="s">
        <v>33</v>
      </c>
      <c r="F93" s="2">
        <v>9</v>
      </c>
      <c r="G93" s="2">
        <v>81.849999999999994</v>
      </c>
      <c r="H93" s="2">
        <v>60</v>
      </c>
      <c r="I93" s="2">
        <v>73.304825899999997</v>
      </c>
      <c r="J93" s="2" t="s">
        <v>34</v>
      </c>
      <c r="K93" s="2">
        <v>5</v>
      </c>
      <c r="L93" s="2" t="s">
        <v>33</v>
      </c>
      <c r="M93" s="2" t="s">
        <v>498</v>
      </c>
      <c r="N93" s="2" t="s">
        <v>499</v>
      </c>
      <c r="O93" s="2" t="s">
        <v>500</v>
      </c>
      <c r="P93" s="2" t="s">
        <v>35</v>
      </c>
      <c r="Q93" s="2"/>
      <c r="R93" s="2" t="s">
        <v>501</v>
      </c>
      <c r="S93" s="2" t="s">
        <v>501</v>
      </c>
      <c r="T93" s="2">
        <v>16991321635</v>
      </c>
      <c r="U93" s="2">
        <v>16991421133</v>
      </c>
      <c r="V93" s="2" t="s">
        <v>502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40</v>
      </c>
      <c r="AE93" s="3" t="s">
        <v>503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x14ac:dyDescent="0.2">
      <c r="A94" s="1">
        <v>45513.501747685186</v>
      </c>
      <c r="B94" s="2" t="s">
        <v>504</v>
      </c>
      <c r="C94" s="2">
        <v>41</v>
      </c>
      <c r="D94" s="2" t="s">
        <v>54</v>
      </c>
      <c r="E94" s="2" t="s">
        <v>33</v>
      </c>
      <c r="F94" s="2">
        <v>0</v>
      </c>
      <c r="G94" s="2">
        <v>85.3</v>
      </c>
      <c r="H94" s="2">
        <v>44</v>
      </c>
      <c r="I94" s="2">
        <v>51.58264947</v>
      </c>
      <c r="J94" s="2" t="s">
        <v>49</v>
      </c>
      <c r="K94" s="2">
        <v>5</v>
      </c>
      <c r="L94" s="2" t="s">
        <v>33</v>
      </c>
      <c r="M94" s="2" t="s">
        <v>167</v>
      </c>
      <c r="N94" s="2" t="s">
        <v>505</v>
      </c>
      <c r="O94" s="2">
        <v>7</v>
      </c>
      <c r="P94" s="2" t="s">
        <v>35</v>
      </c>
      <c r="Q94" s="2"/>
      <c r="R94" s="2" t="s">
        <v>506</v>
      </c>
      <c r="S94" s="2" t="s">
        <v>506</v>
      </c>
      <c r="T94" s="2">
        <v>16991583372</v>
      </c>
      <c r="U94" s="2">
        <v>16991583372</v>
      </c>
      <c r="V94" s="2" t="s">
        <v>507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40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x14ac:dyDescent="0.2">
      <c r="A95" s="1">
        <v>45513.50503472222</v>
      </c>
      <c r="B95" s="2" t="s">
        <v>508</v>
      </c>
      <c r="C95" s="2">
        <v>36</v>
      </c>
      <c r="D95" s="2" t="s">
        <v>54</v>
      </c>
      <c r="E95" s="2" t="s">
        <v>33</v>
      </c>
      <c r="F95" s="2">
        <v>0</v>
      </c>
      <c r="G95" s="2">
        <v>84.85</v>
      </c>
      <c r="H95" s="2">
        <v>50</v>
      </c>
      <c r="I95" s="2">
        <v>58.927519150000002</v>
      </c>
      <c r="J95" s="2" t="s">
        <v>69</v>
      </c>
      <c r="K95" s="2">
        <v>1</v>
      </c>
      <c r="L95" s="2" t="s">
        <v>35</v>
      </c>
      <c r="M95" s="2"/>
      <c r="N95" s="2"/>
      <c r="O95" s="2" t="s">
        <v>509</v>
      </c>
      <c r="P95" s="2" t="s">
        <v>33</v>
      </c>
      <c r="Q95" s="2" t="s">
        <v>510</v>
      </c>
      <c r="R95" s="2" t="s">
        <v>511</v>
      </c>
      <c r="S95" s="2" t="s">
        <v>511</v>
      </c>
      <c r="T95" s="2">
        <v>83988442696</v>
      </c>
      <c r="U95" s="2">
        <v>3592363505</v>
      </c>
      <c r="V95" s="2" t="s">
        <v>512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40</v>
      </c>
      <c r="AE95" s="3" t="s">
        <v>513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x14ac:dyDescent="0.2">
      <c r="A96" s="1">
        <v>45513.936979166669</v>
      </c>
      <c r="B96" s="2" t="s">
        <v>514</v>
      </c>
      <c r="C96" s="2">
        <v>28</v>
      </c>
      <c r="D96" s="2" t="s">
        <v>32</v>
      </c>
      <c r="E96" s="2" t="s">
        <v>33</v>
      </c>
      <c r="F96" s="2">
        <v>0</v>
      </c>
      <c r="G96" s="2">
        <v>92.4</v>
      </c>
      <c r="H96" s="2">
        <v>42</v>
      </c>
      <c r="I96" s="2">
        <v>45.454545449999998</v>
      </c>
      <c r="J96" s="2" t="s">
        <v>49</v>
      </c>
      <c r="K96" s="2">
        <v>5</v>
      </c>
      <c r="L96" s="2" t="s">
        <v>35</v>
      </c>
      <c r="M96" s="2"/>
      <c r="N96" s="2"/>
      <c r="O96" s="2"/>
      <c r="P96" s="2" t="s">
        <v>35</v>
      </c>
      <c r="Q96" s="2"/>
      <c r="R96" s="2" t="s">
        <v>515</v>
      </c>
      <c r="S96" s="2" t="s">
        <v>515</v>
      </c>
      <c r="T96" s="2">
        <v>16993828058</v>
      </c>
      <c r="U96" s="2" t="s">
        <v>516</v>
      </c>
      <c r="V96" s="2" t="s">
        <v>517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40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x14ac:dyDescent="0.2">
      <c r="A97" s="1">
        <v>45516.662777777776</v>
      </c>
      <c r="B97" s="2" t="s">
        <v>518</v>
      </c>
      <c r="C97" s="2">
        <v>35</v>
      </c>
      <c r="D97" s="2" t="s">
        <v>32</v>
      </c>
      <c r="E97" s="2" t="s">
        <v>33</v>
      </c>
      <c r="F97" s="2">
        <v>4</v>
      </c>
      <c r="G97" s="2">
        <v>62.1</v>
      </c>
      <c r="H97" s="2">
        <v>42</v>
      </c>
      <c r="I97" s="2">
        <v>67.632850239999996</v>
      </c>
      <c r="J97" s="2" t="s">
        <v>34</v>
      </c>
      <c r="K97" s="2">
        <v>6</v>
      </c>
      <c r="L97" s="2" t="s">
        <v>33</v>
      </c>
      <c r="M97" s="2" t="s">
        <v>56</v>
      </c>
      <c r="N97" s="27" t="s">
        <v>606</v>
      </c>
      <c r="O97" s="2">
        <v>3</v>
      </c>
      <c r="P97" s="2" t="s">
        <v>35</v>
      </c>
      <c r="Q97" s="2"/>
      <c r="R97" s="2" t="s">
        <v>519</v>
      </c>
      <c r="S97" s="2" t="s">
        <v>519</v>
      </c>
      <c r="T97" s="2">
        <v>16988034167</v>
      </c>
      <c r="U97" s="2">
        <v>16988034168</v>
      </c>
      <c r="V97" s="2" t="s">
        <v>520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40</v>
      </c>
      <c r="AB97" s="2" t="s">
        <v>39</v>
      </c>
      <c r="AC97" s="2" t="s">
        <v>39</v>
      </c>
      <c r="AD97" s="2" t="s">
        <v>40</v>
      </c>
      <c r="AE97" s="4" t="s">
        <v>521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x14ac:dyDescent="0.2">
      <c r="A98" s="1">
        <v>45517.472870370373</v>
      </c>
      <c r="B98" s="2" t="s">
        <v>522</v>
      </c>
      <c r="C98" s="2">
        <v>44</v>
      </c>
      <c r="D98" s="2" t="s">
        <v>54</v>
      </c>
      <c r="E98" s="2" t="s">
        <v>33</v>
      </c>
      <c r="F98" s="2">
        <v>4</v>
      </c>
      <c r="G98" s="2">
        <v>73.5</v>
      </c>
      <c r="H98" s="2">
        <v>58</v>
      </c>
      <c r="I98" s="2">
        <v>78.911564630000001</v>
      </c>
      <c r="J98" s="2" t="s">
        <v>69</v>
      </c>
      <c r="K98" s="2">
        <v>3</v>
      </c>
      <c r="L98" s="2" t="s">
        <v>33</v>
      </c>
      <c r="M98" s="2" t="s">
        <v>56</v>
      </c>
      <c r="N98" s="2" t="s">
        <v>90</v>
      </c>
      <c r="O98" s="2">
        <v>3</v>
      </c>
      <c r="P98" s="2" t="s">
        <v>35</v>
      </c>
      <c r="Q98" s="2"/>
      <c r="R98" s="2" t="s">
        <v>523</v>
      </c>
      <c r="S98" s="2" t="s">
        <v>523</v>
      </c>
      <c r="T98" s="2">
        <v>16993008163</v>
      </c>
      <c r="U98" s="2" t="s">
        <v>524</v>
      </c>
      <c r="V98" s="2" t="s">
        <v>525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40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x14ac:dyDescent="0.2">
      <c r="A99" s="1">
        <v>45517.789259259262</v>
      </c>
      <c r="B99" s="2" t="s">
        <v>526</v>
      </c>
      <c r="C99" s="2">
        <v>39</v>
      </c>
      <c r="D99" s="2" t="s">
        <v>54</v>
      </c>
      <c r="E99" s="2" t="s">
        <v>33</v>
      </c>
      <c r="F99" s="2">
        <v>10</v>
      </c>
      <c r="G99" s="2">
        <v>93.1</v>
      </c>
      <c r="H99" s="2">
        <v>72</v>
      </c>
      <c r="I99" s="2">
        <v>77.336197639999995</v>
      </c>
      <c r="J99" s="2" t="s">
        <v>90</v>
      </c>
      <c r="K99" s="2">
        <v>5</v>
      </c>
      <c r="L99" s="2" t="s">
        <v>33</v>
      </c>
      <c r="M99" s="2" t="s">
        <v>527</v>
      </c>
      <c r="N99" s="2"/>
      <c r="O99" s="27" t="s">
        <v>605</v>
      </c>
      <c r="P99" s="2" t="s">
        <v>35</v>
      </c>
      <c r="Q99" s="2"/>
      <c r="R99" s="2" t="s">
        <v>528</v>
      </c>
      <c r="S99" s="2" t="s">
        <v>528</v>
      </c>
      <c r="T99" s="2">
        <v>16981222356</v>
      </c>
      <c r="U99" s="2">
        <v>16991833383</v>
      </c>
      <c r="V99" s="2" t="s">
        <v>529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40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x14ac:dyDescent="0.2">
      <c r="A100" s="1">
        <v>45518.591678240744</v>
      </c>
      <c r="B100" s="2" t="s">
        <v>530</v>
      </c>
      <c r="C100" s="2">
        <v>28</v>
      </c>
      <c r="D100" s="2" t="s">
        <v>54</v>
      </c>
      <c r="E100" s="2" t="s">
        <v>33</v>
      </c>
      <c r="F100" s="2">
        <v>5</v>
      </c>
      <c r="G100" s="2">
        <v>102.9</v>
      </c>
      <c r="H100" s="2">
        <v>76</v>
      </c>
      <c r="I100" s="2">
        <v>73.858114670000006</v>
      </c>
      <c r="J100" s="2" t="s">
        <v>49</v>
      </c>
      <c r="K100" s="2">
        <v>15</v>
      </c>
      <c r="L100" s="2" t="s">
        <v>35</v>
      </c>
      <c r="M100" s="2"/>
      <c r="N100" s="2"/>
      <c r="O100" s="2"/>
      <c r="P100" s="2" t="s">
        <v>35</v>
      </c>
      <c r="Q100" s="2"/>
      <c r="R100" s="2" t="s">
        <v>531</v>
      </c>
      <c r="S100" s="2" t="s">
        <v>531</v>
      </c>
      <c r="T100" s="2">
        <v>16992527797</v>
      </c>
      <c r="U100" s="2">
        <v>169925277</v>
      </c>
      <c r="V100" s="2" t="s">
        <v>532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40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x14ac:dyDescent="0.2">
      <c r="A101" s="1">
        <v>45523.675833333335</v>
      </c>
      <c r="B101" s="2" t="s">
        <v>533</v>
      </c>
      <c r="C101" s="2">
        <v>24</v>
      </c>
      <c r="D101" s="2" t="s">
        <v>54</v>
      </c>
      <c r="E101" s="2" t="s">
        <v>33</v>
      </c>
      <c r="F101" s="2">
        <v>3</v>
      </c>
      <c r="G101" s="2">
        <v>65.849999999999994</v>
      </c>
      <c r="H101" s="2">
        <v>44</v>
      </c>
      <c r="I101" s="2">
        <v>66.81852696</v>
      </c>
      <c r="J101" s="2" t="s">
        <v>90</v>
      </c>
      <c r="K101" s="2">
        <v>11</v>
      </c>
      <c r="L101" s="2" t="s">
        <v>33</v>
      </c>
      <c r="M101" s="27" t="s">
        <v>601</v>
      </c>
      <c r="N101" s="2"/>
      <c r="O101" s="2">
        <v>12</v>
      </c>
      <c r="P101" s="2" t="s">
        <v>35</v>
      </c>
      <c r="Q101" s="2"/>
      <c r="R101" s="2" t="s">
        <v>534</v>
      </c>
      <c r="S101" s="2" t="s">
        <v>534</v>
      </c>
      <c r="T101" s="2">
        <v>16993353883</v>
      </c>
      <c r="U101" s="2" t="s">
        <v>535</v>
      </c>
      <c r="V101" s="2" t="s">
        <v>536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40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x14ac:dyDescent="0.2">
      <c r="A102" s="1">
        <v>45523.706354166665</v>
      </c>
      <c r="B102" s="2" t="s">
        <v>537</v>
      </c>
      <c r="C102" s="2">
        <v>26</v>
      </c>
      <c r="D102" s="2" t="s">
        <v>54</v>
      </c>
      <c r="E102" s="2" t="s">
        <v>33</v>
      </c>
      <c r="F102" s="2">
        <v>7</v>
      </c>
      <c r="G102" s="2">
        <v>72.05</v>
      </c>
      <c r="H102" s="2">
        <v>58</v>
      </c>
      <c r="I102" s="2">
        <v>80.499653019999997</v>
      </c>
      <c r="J102" s="2" t="s">
        <v>161</v>
      </c>
      <c r="K102" s="2">
        <v>8</v>
      </c>
      <c r="L102" s="2" t="s">
        <v>33</v>
      </c>
      <c r="M102" s="2" t="s">
        <v>538</v>
      </c>
      <c r="N102" s="27" t="s">
        <v>604</v>
      </c>
      <c r="O102" s="2" t="s">
        <v>509</v>
      </c>
      <c r="P102" s="2" t="s">
        <v>33</v>
      </c>
      <c r="Q102" s="2" t="s">
        <v>539</v>
      </c>
      <c r="R102" s="2" t="s">
        <v>540</v>
      </c>
      <c r="S102" s="2" t="s">
        <v>540</v>
      </c>
      <c r="T102" s="2">
        <v>16981004983</v>
      </c>
      <c r="U102" s="2" t="s">
        <v>541</v>
      </c>
      <c r="V102" s="2" t="s">
        <v>542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40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x14ac:dyDescent="0.2">
      <c r="A103" s="1">
        <v>45524.714999999997</v>
      </c>
      <c r="B103" s="2" t="s">
        <v>543</v>
      </c>
      <c r="C103" s="2">
        <v>29</v>
      </c>
      <c r="D103" s="2" t="s">
        <v>54</v>
      </c>
      <c r="E103" s="2" t="s">
        <v>33</v>
      </c>
      <c r="F103" s="2">
        <v>9</v>
      </c>
      <c r="G103" s="2">
        <v>77.8</v>
      </c>
      <c r="H103" s="2">
        <v>54</v>
      </c>
      <c r="I103" s="2">
        <v>69.408740359999996</v>
      </c>
      <c r="J103" s="2" t="s">
        <v>123</v>
      </c>
      <c r="K103" s="2">
        <v>4</v>
      </c>
      <c r="L103" s="2" t="s">
        <v>33</v>
      </c>
      <c r="M103" s="2" t="s">
        <v>544</v>
      </c>
      <c r="N103" s="2" t="s">
        <v>545</v>
      </c>
      <c r="O103" s="2" t="s">
        <v>546</v>
      </c>
      <c r="P103" s="2" t="s">
        <v>35</v>
      </c>
      <c r="Q103" s="2"/>
      <c r="R103" s="2" t="s">
        <v>547</v>
      </c>
      <c r="S103" s="2" t="s">
        <v>547</v>
      </c>
      <c r="T103" s="2">
        <v>16997000707</v>
      </c>
      <c r="U103" s="2">
        <v>16997000707</v>
      </c>
      <c r="V103" s="2" t="s">
        <v>548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40</v>
      </c>
      <c r="AE103" s="3" t="s">
        <v>549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x14ac:dyDescent="0.2">
      <c r="A104" s="1">
        <v>45524.743877314817</v>
      </c>
      <c r="B104" s="2" t="s">
        <v>550</v>
      </c>
      <c r="C104" s="2">
        <v>29</v>
      </c>
      <c r="D104" s="2" t="s">
        <v>32</v>
      </c>
      <c r="E104" s="2" t="s">
        <v>33</v>
      </c>
      <c r="F104" s="2">
        <v>1</v>
      </c>
      <c r="G104" s="2">
        <v>47.4</v>
      </c>
      <c r="H104" s="2">
        <v>27</v>
      </c>
      <c r="I104" s="2">
        <v>56.962025320000002</v>
      </c>
      <c r="J104" s="2" t="s">
        <v>55</v>
      </c>
      <c r="K104" s="2">
        <v>4</v>
      </c>
      <c r="L104" s="2" t="s">
        <v>33</v>
      </c>
      <c r="M104" s="27" t="s">
        <v>602</v>
      </c>
      <c r="N104" s="2" t="s">
        <v>269</v>
      </c>
      <c r="O104" s="2">
        <v>4</v>
      </c>
      <c r="P104" s="2" t="s">
        <v>35</v>
      </c>
      <c r="Q104" s="2"/>
      <c r="R104" s="2" t="s">
        <v>551</v>
      </c>
      <c r="S104" s="2" t="s">
        <v>552</v>
      </c>
      <c r="T104" s="2">
        <v>1699846050</v>
      </c>
      <c r="U104" s="2">
        <v>16992564254</v>
      </c>
      <c r="V104" s="2" t="s">
        <v>553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40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x14ac:dyDescent="0.2">
      <c r="A105" s="1">
        <v>45524.808981481481</v>
      </c>
      <c r="B105" s="2" t="s">
        <v>554</v>
      </c>
      <c r="C105" s="2">
        <v>40</v>
      </c>
      <c r="D105" s="2" t="s">
        <v>32</v>
      </c>
      <c r="E105" s="2" t="s">
        <v>33</v>
      </c>
      <c r="F105" s="2">
        <v>0</v>
      </c>
      <c r="G105" s="2">
        <v>64.849999999999994</v>
      </c>
      <c r="H105" s="2">
        <v>32</v>
      </c>
      <c r="I105" s="2">
        <v>49.34464148</v>
      </c>
      <c r="J105" s="2" t="s">
        <v>123</v>
      </c>
      <c r="K105" s="2">
        <v>4</v>
      </c>
      <c r="L105" s="2" t="s">
        <v>35</v>
      </c>
      <c r="M105" s="2"/>
      <c r="N105" s="2"/>
      <c r="O105" s="2"/>
      <c r="P105" s="2" t="s">
        <v>35</v>
      </c>
      <c r="Q105" s="2"/>
      <c r="R105" s="2" t="s">
        <v>555</v>
      </c>
      <c r="S105" s="2" t="s">
        <v>555</v>
      </c>
      <c r="T105" s="2">
        <v>19998698616</v>
      </c>
      <c r="U105" s="2">
        <v>19971261510</v>
      </c>
      <c r="V105" s="2" t="s">
        <v>556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40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x14ac:dyDescent="0.2">
      <c r="A106" s="1">
        <v>45525.455011574071</v>
      </c>
      <c r="B106" s="2" t="s">
        <v>557</v>
      </c>
      <c r="C106" s="2">
        <v>38</v>
      </c>
      <c r="D106" s="2" t="s">
        <v>32</v>
      </c>
      <c r="E106" s="2" t="s">
        <v>33</v>
      </c>
      <c r="F106" s="2">
        <v>0</v>
      </c>
      <c r="G106" s="2">
        <v>66</v>
      </c>
      <c r="H106" s="2">
        <v>30</v>
      </c>
      <c r="I106" s="2">
        <v>45.454545449999998</v>
      </c>
      <c r="J106" s="2" t="s">
        <v>123</v>
      </c>
      <c r="K106" s="2">
        <v>4</v>
      </c>
      <c r="L106" s="2" t="s">
        <v>33</v>
      </c>
      <c r="M106" s="2" t="s">
        <v>558</v>
      </c>
      <c r="N106" s="2"/>
      <c r="O106" s="2" t="s">
        <v>559</v>
      </c>
      <c r="P106" s="2" t="s">
        <v>35</v>
      </c>
      <c r="Q106" s="2"/>
      <c r="R106" s="2" t="s">
        <v>560</v>
      </c>
      <c r="S106" s="2" t="s">
        <v>561</v>
      </c>
      <c r="T106" s="2" t="s">
        <v>562</v>
      </c>
      <c r="U106" s="2" t="s">
        <v>563</v>
      </c>
      <c r="V106" s="2" t="s">
        <v>496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40</v>
      </c>
      <c r="AE106" s="3" t="s">
        <v>564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x14ac:dyDescent="0.2">
      <c r="A107" s="1">
        <v>45525.487488425926</v>
      </c>
      <c r="B107" s="2" t="s">
        <v>565</v>
      </c>
      <c r="C107" s="2">
        <v>26</v>
      </c>
      <c r="D107" s="2" t="s">
        <v>32</v>
      </c>
      <c r="E107" s="2" t="s">
        <v>33</v>
      </c>
      <c r="F107" s="2">
        <v>0</v>
      </c>
      <c r="G107" s="2">
        <v>49.05</v>
      </c>
      <c r="H107" s="2">
        <v>23</v>
      </c>
      <c r="I107" s="2">
        <v>46.890927619999999</v>
      </c>
      <c r="J107" s="2" t="s">
        <v>55</v>
      </c>
      <c r="K107" s="2">
        <v>3</v>
      </c>
      <c r="L107" s="2" t="s">
        <v>35</v>
      </c>
      <c r="M107" s="2"/>
      <c r="N107" s="2"/>
      <c r="O107" s="2"/>
      <c r="P107" s="2" t="s">
        <v>35</v>
      </c>
      <c r="Q107" s="2"/>
      <c r="R107" s="2" t="s">
        <v>566</v>
      </c>
      <c r="S107" s="2" t="s">
        <v>567</v>
      </c>
      <c r="T107" s="2">
        <v>19982706038</v>
      </c>
      <c r="U107" s="2">
        <v>19982706038</v>
      </c>
      <c r="V107" s="2" t="s">
        <v>568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40</v>
      </c>
      <c r="AE107" s="3" t="s">
        <v>569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x14ac:dyDescent="0.2">
      <c r="A108" s="1">
        <v>45525.582905092589</v>
      </c>
      <c r="B108" s="2" t="s">
        <v>570</v>
      </c>
      <c r="C108" s="2">
        <v>35</v>
      </c>
      <c r="D108" s="2" t="s">
        <v>32</v>
      </c>
      <c r="E108" s="2" t="s">
        <v>33</v>
      </c>
      <c r="F108" s="2">
        <v>8</v>
      </c>
      <c r="G108" s="2">
        <v>65.349999999999994</v>
      </c>
      <c r="H108" s="2">
        <v>40</v>
      </c>
      <c r="I108" s="2">
        <v>61.208875290000002</v>
      </c>
      <c r="J108" s="2" t="s">
        <v>123</v>
      </c>
      <c r="K108" s="2">
        <v>3</v>
      </c>
      <c r="L108" s="2" t="s">
        <v>33</v>
      </c>
      <c r="M108" s="27" t="s">
        <v>56</v>
      </c>
      <c r="N108" s="2" t="s">
        <v>603</v>
      </c>
      <c r="O108" s="2">
        <v>4</v>
      </c>
      <c r="P108" s="2" t="s">
        <v>35</v>
      </c>
      <c r="Q108" s="2"/>
      <c r="R108" s="2" t="s">
        <v>571</v>
      </c>
      <c r="S108" s="2" t="s">
        <v>572</v>
      </c>
      <c r="T108" s="2">
        <v>16982335935</v>
      </c>
      <c r="U108" s="2">
        <v>16982335935</v>
      </c>
      <c r="V108" s="2" t="s">
        <v>573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40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x14ac:dyDescent="0.2">
      <c r="A109" s="1">
        <v>45525.749988425923</v>
      </c>
      <c r="B109" s="2" t="s">
        <v>574</v>
      </c>
      <c r="C109" s="2">
        <v>27</v>
      </c>
      <c r="D109" s="2" t="s">
        <v>54</v>
      </c>
      <c r="E109" s="2" t="s">
        <v>33</v>
      </c>
      <c r="F109" s="2">
        <v>9</v>
      </c>
      <c r="G109" s="2">
        <v>83.35</v>
      </c>
      <c r="H109" s="2">
        <v>70</v>
      </c>
      <c r="I109" s="2">
        <v>83.983203360000005</v>
      </c>
      <c r="J109" s="2" t="s">
        <v>90</v>
      </c>
      <c r="K109" s="2">
        <v>5</v>
      </c>
      <c r="L109" s="2" t="s">
        <v>33</v>
      </c>
      <c r="M109" s="2" t="s">
        <v>575</v>
      </c>
      <c r="N109" s="2"/>
      <c r="O109" s="2" t="s">
        <v>576</v>
      </c>
      <c r="P109" s="2" t="s">
        <v>35</v>
      </c>
      <c r="Q109" s="2"/>
      <c r="R109" s="2" t="s">
        <v>577</v>
      </c>
      <c r="S109" s="2" t="s">
        <v>577</v>
      </c>
      <c r="T109" s="2">
        <v>16974035269</v>
      </c>
      <c r="U109" s="2">
        <v>11996126158</v>
      </c>
      <c r="V109" s="2" t="s">
        <v>578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40</v>
      </c>
      <c r="AE109" s="3" t="s">
        <v>579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x14ac:dyDescent="0.2"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Z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1" ht="12.75" x14ac:dyDescent="0.2"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Y111" s="5"/>
      <c r="Z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1" ht="12.75" x14ac:dyDescent="0.2"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2:41" ht="12.75" x14ac:dyDescent="0.2"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2:41" ht="12.75" x14ac:dyDescent="0.2"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Y114" s="5"/>
      <c r="Z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2:41" ht="12.75" x14ac:dyDescent="0.2"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Z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2:41" ht="12.75" x14ac:dyDescent="0.2"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Y116" s="5"/>
      <c r="Z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2:41" ht="12.75" x14ac:dyDescent="0.2"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Z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2:41" ht="12.75" x14ac:dyDescent="0.2"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Y118" s="5"/>
      <c r="Z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2:41" ht="12.75" x14ac:dyDescent="0.2"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Y119" s="5"/>
      <c r="Z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</sheetData>
  <hyperlinks>
    <hyperlink ref="AE2" r:id="rId1" xr:uid="{00000000-0004-0000-0100-000000000000}"/>
    <hyperlink ref="AE3" r:id="rId2" xr:uid="{00000000-0004-0000-0100-000001000000}"/>
    <hyperlink ref="AE4" r:id="rId3" xr:uid="{00000000-0004-0000-0100-000002000000}"/>
    <hyperlink ref="AE5" r:id="rId4" xr:uid="{00000000-0004-0000-0100-000003000000}"/>
    <hyperlink ref="AE6" r:id="rId5" xr:uid="{00000000-0004-0000-0100-000004000000}"/>
    <hyperlink ref="AE7" r:id="rId6" xr:uid="{00000000-0004-0000-0100-000005000000}"/>
    <hyperlink ref="AE8" r:id="rId7" xr:uid="{00000000-0004-0000-0100-000006000000}"/>
    <hyperlink ref="AE9" r:id="rId8" xr:uid="{00000000-0004-0000-0100-000007000000}"/>
    <hyperlink ref="AE14" r:id="rId9" xr:uid="{00000000-0004-0000-0100-000008000000}"/>
    <hyperlink ref="AE15" r:id="rId10" xr:uid="{00000000-0004-0000-0100-000009000000}"/>
    <hyperlink ref="AE19" r:id="rId11" xr:uid="{00000000-0004-0000-0100-00000A000000}"/>
    <hyperlink ref="AE22" r:id="rId12" xr:uid="{00000000-0004-0000-0100-00000B000000}"/>
    <hyperlink ref="AE23" r:id="rId13" xr:uid="{00000000-0004-0000-0100-00000C000000}"/>
    <hyperlink ref="AE24" r:id="rId14" xr:uid="{00000000-0004-0000-0100-00000D000000}"/>
    <hyperlink ref="AE25" r:id="rId15" xr:uid="{00000000-0004-0000-0100-00000E000000}"/>
    <hyperlink ref="AE26" r:id="rId16" xr:uid="{00000000-0004-0000-0100-00000F000000}"/>
    <hyperlink ref="AE28" r:id="rId17" xr:uid="{00000000-0004-0000-0100-000010000000}"/>
    <hyperlink ref="AE30" r:id="rId18" xr:uid="{00000000-0004-0000-0100-000011000000}"/>
    <hyperlink ref="AE31" r:id="rId19" xr:uid="{00000000-0004-0000-0100-000012000000}"/>
    <hyperlink ref="AE32" r:id="rId20" xr:uid="{00000000-0004-0000-0100-000013000000}"/>
    <hyperlink ref="AE34" r:id="rId21" xr:uid="{00000000-0004-0000-0100-000014000000}"/>
    <hyperlink ref="AE35" r:id="rId22" xr:uid="{00000000-0004-0000-0100-000015000000}"/>
    <hyperlink ref="AE37" r:id="rId23" xr:uid="{00000000-0004-0000-0100-000016000000}"/>
    <hyperlink ref="AE38" r:id="rId24" xr:uid="{00000000-0004-0000-0100-000017000000}"/>
    <hyperlink ref="AE41" r:id="rId25" xr:uid="{00000000-0004-0000-0100-000018000000}"/>
    <hyperlink ref="AE44" r:id="rId26" xr:uid="{00000000-0004-0000-0100-000019000000}"/>
    <hyperlink ref="AE46" r:id="rId27" xr:uid="{00000000-0004-0000-0100-00001A000000}"/>
    <hyperlink ref="AE47" r:id="rId28" xr:uid="{00000000-0004-0000-0100-00001B000000}"/>
    <hyperlink ref="AE49" r:id="rId29" xr:uid="{00000000-0004-0000-0100-00001C000000}"/>
    <hyperlink ref="AE50" r:id="rId30" xr:uid="{00000000-0004-0000-0100-00001D000000}"/>
    <hyperlink ref="AE52" r:id="rId31" xr:uid="{00000000-0004-0000-0100-00001E000000}"/>
    <hyperlink ref="AE56" r:id="rId32" xr:uid="{00000000-0004-0000-0100-00001F000000}"/>
    <hyperlink ref="AE58" r:id="rId33" xr:uid="{00000000-0004-0000-0100-000020000000}"/>
    <hyperlink ref="AE63" r:id="rId34" xr:uid="{00000000-0004-0000-0100-000021000000}"/>
    <hyperlink ref="AE64" r:id="rId35" xr:uid="{00000000-0004-0000-0100-000022000000}"/>
    <hyperlink ref="AE65" r:id="rId36" xr:uid="{00000000-0004-0000-0100-000023000000}"/>
    <hyperlink ref="AE66" r:id="rId37" xr:uid="{00000000-0004-0000-0100-000024000000}"/>
    <hyperlink ref="AE71" r:id="rId38" xr:uid="{00000000-0004-0000-0100-000025000000}"/>
    <hyperlink ref="AE80" r:id="rId39" xr:uid="{00000000-0004-0000-0100-000026000000}"/>
    <hyperlink ref="AE82" r:id="rId40" xr:uid="{00000000-0004-0000-0100-000027000000}"/>
    <hyperlink ref="AE84" r:id="rId41" xr:uid="{00000000-0004-0000-0100-000028000000}"/>
    <hyperlink ref="AE85" r:id="rId42" xr:uid="{00000000-0004-0000-0100-000029000000}"/>
    <hyperlink ref="AE86" r:id="rId43" xr:uid="{00000000-0004-0000-0100-00002A000000}"/>
    <hyperlink ref="AE87" r:id="rId44" xr:uid="{00000000-0004-0000-0100-00002B000000}"/>
    <hyperlink ref="AE88" r:id="rId45" xr:uid="{00000000-0004-0000-0100-00002C000000}"/>
    <hyperlink ref="AE89" r:id="rId46" xr:uid="{00000000-0004-0000-0100-00002D000000}"/>
    <hyperlink ref="AE90" r:id="rId47" xr:uid="{00000000-0004-0000-0100-00002E000000}"/>
    <hyperlink ref="AE91" r:id="rId48" xr:uid="{00000000-0004-0000-0100-00002F000000}"/>
    <hyperlink ref="AE93" r:id="rId49" xr:uid="{00000000-0004-0000-0100-000030000000}"/>
    <hyperlink ref="AE95" r:id="rId50" xr:uid="{00000000-0004-0000-0100-000031000000}"/>
    <hyperlink ref="AE97" r:id="rId51" xr:uid="{00000000-0004-0000-0100-000032000000}"/>
    <hyperlink ref="AE103" r:id="rId52" xr:uid="{00000000-0004-0000-0100-000033000000}"/>
    <hyperlink ref="AE106" r:id="rId53" xr:uid="{00000000-0004-0000-0100-000034000000}"/>
    <hyperlink ref="AE107" r:id="rId54" xr:uid="{00000000-0004-0000-0100-000035000000}"/>
    <hyperlink ref="AE109" r:id="rId55" xr:uid="{00000000-0004-0000-0100-000036000000}"/>
  </hyperlinks>
  <pageMargins left="0.511811024" right="0.511811024" top="0.78740157499999996" bottom="0.78740157499999996" header="0.31496062000000002" footer="0.31496062000000002"/>
  <legacy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cols>
    <col min="4" max="4" width="11" customWidth="1"/>
    <col min="8" max="8" width="20.140625" customWidth="1"/>
    <col min="9" max="9" width="12.42578125" customWidth="1"/>
  </cols>
  <sheetData>
    <row r="1" spans="1:27" ht="22.5" customHeight="1" x14ac:dyDescent="0.2">
      <c r="A1" s="6" t="s">
        <v>580</v>
      </c>
      <c r="B1" s="6" t="s">
        <v>581</v>
      </c>
      <c r="C1" s="6" t="s">
        <v>582</v>
      </c>
      <c r="E1" s="28" t="s">
        <v>583</v>
      </c>
      <c r="F1" s="29"/>
      <c r="I1" s="28" t="s">
        <v>582</v>
      </c>
      <c r="J1" s="30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2.75" x14ac:dyDescent="0.2">
      <c r="A2" s="8" t="s">
        <v>54</v>
      </c>
      <c r="B2" s="9">
        <v>80.106809080000005</v>
      </c>
      <c r="C2" s="9">
        <v>8</v>
      </c>
      <c r="E2" s="10" t="s">
        <v>584</v>
      </c>
      <c r="F2" s="11">
        <f>AVERAGE(B2:B109)</f>
        <v>65.212993654814809</v>
      </c>
      <c r="I2" s="10" t="s">
        <v>584</v>
      </c>
      <c r="J2" s="11">
        <f>AVERAGE(C2:C109)</f>
        <v>5.2592592592592595</v>
      </c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2.75" x14ac:dyDescent="0.2">
      <c r="A3" s="8" t="s">
        <v>54</v>
      </c>
      <c r="B3" s="9">
        <v>76.50273224</v>
      </c>
      <c r="C3" s="9">
        <v>12</v>
      </c>
      <c r="E3" s="10" t="s">
        <v>585</v>
      </c>
      <c r="F3" s="5">
        <f>STDEV(B2:B109)</f>
        <v>16.085565909098655</v>
      </c>
      <c r="I3" s="10" t="s">
        <v>585</v>
      </c>
      <c r="J3" s="5">
        <f>STDEV(C2:C109)</f>
        <v>6.282106870779482</v>
      </c>
      <c r="U3" s="12"/>
      <c r="V3" s="12"/>
      <c r="W3" s="12"/>
      <c r="X3" s="12"/>
      <c r="Y3" s="12"/>
      <c r="Z3" s="12"/>
      <c r="AA3" s="12"/>
    </row>
    <row r="4" spans="1:27" ht="12.75" x14ac:dyDescent="0.2">
      <c r="A4" s="8" t="s">
        <v>54</v>
      </c>
      <c r="B4" s="9">
        <v>42.0131291</v>
      </c>
      <c r="C4" s="9">
        <v>0</v>
      </c>
      <c r="E4" s="31" t="s">
        <v>586</v>
      </c>
      <c r="F4" s="29"/>
      <c r="I4" s="32" t="s">
        <v>586</v>
      </c>
      <c r="J4" s="29"/>
      <c r="U4" s="12"/>
      <c r="V4" s="12"/>
      <c r="W4" s="12"/>
      <c r="X4" s="12"/>
      <c r="Y4" s="12"/>
      <c r="Z4" s="12"/>
      <c r="AA4" s="12"/>
    </row>
    <row r="5" spans="1:27" ht="12.75" x14ac:dyDescent="0.2">
      <c r="A5" s="8" t="s">
        <v>54</v>
      </c>
      <c r="B5" s="9">
        <v>66.257668710000004</v>
      </c>
      <c r="C5" s="9">
        <v>4</v>
      </c>
      <c r="K5" s="12"/>
      <c r="L5" s="12"/>
      <c r="M5" s="12"/>
      <c r="U5" s="12"/>
      <c r="V5" s="12"/>
      <c r="W5" s="12"/>
      <c r="X5" s="12"/>
      <c r="Y5" s="12"/>
      <c r="Z5" s="12"/>
      <c r="AA5" s="12"/>
    </row>
    <row r="6" spans="1:27" ht="12.75" x14ac:dyDescent="0.2">
      <c r="A6" s="8" t="s">
        <v>54</v>
      </c>
      <c r="B6" s="9">
        <v>90.261282660000006</v>
      </c>
      <c r="C6" s="9">
        <v>6</v>
      </c>
      <c r="K6" s="12"/>
      <c r="L6" s="12"/>
      <c r="M6" s="12"/>
      <c r="U6" s="12"/>
      <c r="V6" s="12"/>
      <c r="W6" s="12"/>
      <c r="X6" s="12"/>
      <c r="Y6" s="12"/>
      <c r="Z6" s="12"/>
      <c r="AA6" s="12"/>
    </row>
    <row r="7" spans="1:27" ht="12.75" x14ac:dyDescent="0.2">
      <c r="A7" s="8" t="s">
        <v>54</v>
      </c>
      <c r="B7" s="9">
        <v>80.106809080000005</v>
      </c>
      <c r="C7" s="9">
        <v>14</v>
      </c>
      <c r="K7" s="12"/>
      <c r="L7" s="12"/>
      <c r="M7" s="12"/>
      <c r="U7" s="12"/>
      <c r="V7" s="12"/>
      <c r="W7" s="12"/>
      <c r="X7" s="12"/>
      <c r="Y7" s="12"/>
      <c r="Z7" s="12"/>
      <c r="AA7" s="12"/>
    </row>
    <row r="8" spans="1:27" ht="12.75" x14ac:dyDescent="0.2">
      <c r="A8" s="8" t="s">
        <v>54</v>
      </c>
      <c r="B8" s="9">
        <v>59.469941820000003</v>
      </c>
      <c r="C8" s="9">
        <v>1</v>
      </c>
      <c r="K8" s="12"/>
      <c r="L8" s="12"/>
      <c r="M8" s="12"/>
      <c r="U8" s="12"/>
      <c r="V8" s="12"/>
      <c r="W8" s="12"/>
      <c r="X8" s="12"/>
      <c r="Y8" s="12"/>
      <c r="Z8" s="12"/>
      <c r="AA8" s="12"/>
    </row>
    <row r="9" spans="1:27" ht="12.75" x14ac:dyDescent="0.2">
      <c r="A9" s="8" t="s">
        <v>54</v>
      </c>
      <c r="B9" s="9">
        <v>85.04398827</v>
      </c>
      <c r="C9" s="9">
        <v>9</v>
      </c>
      <c r="K9" s="12"/>
      <c r="L9" s="12"/>
      <c r="M9" s="12"/>
      <c r="U9" s="12"/>
      <c r="V9" s="12"/>
      <c r="W9" s="12"/>
      <c r="X9" s="12"/>
      <c r="Y9" s="12"/>
      <c r="Z9" s="12"/>
      <c r="AA9" s="12"/>
    </row>
    <row r="10" spans="1:27" ht="12.75" x14ac:dyDescent="0.2">
      <c r="A10" s="8" t="s">
        <v>54</v>
      </c>
      <c r="B10" s="9">
        <v>91.687041559999997</v>
      </c>
      <c r="C10" s="9">
        <v>20</v>
      </c>
      <c r="K10" s="12"/>
      <c r="L10" s="12"/>
      <c r="M10" s="12"/>
      <c r="U10" s="12"/>
      <c r="V10" s="12"/>
      <c r="W10" s="12"/>
      <c r="X10" s="12"/>
      <c r="Y10" s="12"/>
      <c r="Z10" s="12"/>
      <c r="AA10" s="12"/>
    </row>
    <row r="11" spans="1:27" ht="12.75" x14ac:dyDescent="0.2">
      <c r="A11" s="8" t="s">
        <v>54</v>
      </c>
      <c r="B11" s="9">
        <v>85.209981740000003</v>
      </c>
      <c r="C11" s="9">
        <v>15</v>
      </c>
      <c r="K11" s="12"/>
      <c r="L11" s="12"/>
      <c r="M11" s="12"/>
      <c r="U11" s="12"/>
      <c r="V11" s="12"/>
      <c r="W11" s="12"/>
      <c r="X11" s="12"/>
      <c r="Y11" s="12"/>
      <c r="Z11" s="12"/>
      <c r="AA11" s="12"/>
    </row>
    <row r="12" spans="1:27" ht="12.75" x14ac:dyDescent="0.2">
      <c r="A12" s="8" t="s">
        <v>54</v>
      </c>
      <c r="B12" s="9">
        <v>76.804915510000001</v>
      </c>
      <c r="C12" s="9">
        <v>10</v>
      </c>
      <c r="K12" s="12"/>
      <c r="L12" s="12"/>
      <c r="M12" s="12"/>
      <c r="U12" s="12"/>
      <c r="V12" s="12"/>
      <c r="W12" s="12"/>
      <c r="X12" s="12"/>
      <c r="Y12" s="12"/>
      <c r="Z12" s="12"/>
      <c r="AA12" s="12"/>
    </row>
    <row r="13" spans="1:27" ht="12.75" x14ac:dyDescent="0.2">
      <c r="A13" s="8" t="s">
        <v>54</v>
      </c>
      <c r="B13" s="9">
        <v>78.091106289999999</v>
      </c>
      <c r="C13" s="9">
        <v>12</v>
      </c>
      <c r="K13" s="12"/>
      <c r="L13" s="12"/>
      <c r="M13" s="12"/>
      <c r="U13" s="12"/>
      <c r="V13" s="12"/>
      <c r="W13" s="12"/>
      <c r="X13" s="12"/>
      <c r="Y13" s="12"/>
      <c r="Z13" s="12"/>
      <c r="AA13" s="12"/>
    </row>
    <row r="14" spans="1:27" ht="12.75" x14ac:dyDescent="0.2">
      <c r="A14" s="8" t="s">
        <v>54</v>
      </c>
      <c r="B14" s="9">
        <v>74.874010080000005</v>
      </c>
      <c r="C14" s="9">
        <v>10</v>
      </c>
      <c r="K14" s="12"/>
      <c r="L14" s="12"/>
      <c r="M14" s="12"/>
      <c r="U14" s="12"/>
      <c r="V14" s="12"/>
      <c r="W14" s="12"/>
      <c r="X14" s="12"/>
      <c r="Y14" s="12"/>
      <c r="Z14" s="12"/>
      <c r="AA14" s="12"/>
    </row>
    <row r="15" spans="1:27" ht="12.75" x14ac:dyDescent="0.2">
      <c r="A15" s="8" t="s">
        <v>54</v>
      </c>
      <c r="B15" s="9">
        <v>88.815789469999999</v>
      </c>
      <c r="C15" s="9">
        <v>19</v>
      </c>
      <c r="D15" s="11"/>
      <c r="K15" s="12"/>
      <c r="L15" s="12"/>
      <c r="M15" s="12"/>
      <c r="U15" s="12"/>
      <c r="V15" s="12"/>
      <c r="W15" s="12"/>
      <c r="X15" s="12"/>
      <c r="Y15" s="12"/>
      <c r="Z15" s="12"/>
      <c r="AA15" s="12"/>
    </row>
    <row r="16" spans="1:27" ht="12.75" x14ac:dyDescent="0.2">
      <c r="A16" s="8" t="s">
        <v>54</v>
      </c>
      <c r="B16" s="9">
        <v>79.908675799999997</v>
      </c>
      <c r="C16" s="9">
        <v>5</v>
      </c>
      <c r="D16" s="11"/>
      <c r="K16" s="12"/>
      <c r="L16" s="12"/>
      <c r="M16" s="12"/>
      <c r="U16" s="12"/>
      <c r="V16" s="12"/>
      <c r="W16" s="12"/>
      <c r="X16" s="12"/>
      <c r="Y16" s="12"/>
      <c r="Z16" s="12"/>
      <c r="AA16" s="12"/>
    </row>
    <row r="17" spans="1:27" ht="12.75" x14ac:dyDescent="0.2">
      <c r="A17" s="8" t="s">
        <v>54</v>
      </c>
      <c r="B17" s="9">
        <v>24.09638554</v>
      </c>
      <c r="C17" s="9">
        <v>0</v>
      </c>
      <c r="D17" s="11"/>
      <c r="K17" s="12"/>
      <c r="L17" s="12"/>
      <c r="M17" s="12"/>
      <c r="U17" s="12"/>
      <c r="V17" s="12"/>
      <c r="W17" s="12"/>
      <c r="X17" s="12"/>
      <c r="Y17" s="12"/>
      <c r="Z17" s="12"/>
      <c r="AA17" s="12"/>
    </row>
    <row r="18" spans="1:27" ht="12.75" x14ac:dyDescent="0.2">
      <c r="A18" s="8" t="s">
        <v>54</v>
      </c>
      <c r="B18" s="9">
        <v>60.150375940000004</v>
      </c>
      <c r="C18" s="9">
        <v>2</v>
      </c>
      <c r="D18" s="11"/>
      <c r="E18" s="31" t="s">
        <v>587</v>
      </c>
      <c r="F18" s="29"/>
      <c r="K18" s="12"/>
      <c r="L18" s="12"/>
      <c r="M18" s="12"/>
      <c r="U18" s="12"/>
      <c r="V18" s="12"/>
      <c r="W18" s="12"/>
      <c r="X18" s="12"/>
      <c r="Y18" s="12"/>
      <c r="Z18" s="12"/>
      <c r="AA18" s="12"/>
    </row>
    <row r="19" spans="1:27" ht="12.75" x14ac:dyDescent="0.2">
      <c r="A19" s="8" t="s">
        <v>54</v>
      </c>
      <c r="B19" s="9">
        <v>61.957868650000002</v>
      </c>
      <c r="C19" s="9">
        <v>0</v>
      </c>
      <c r="D19" s="11"/>
      <c r="K19" s="12"/>
      <c r="L19" s="12"/>
      <c r="M19" s="12"/>
      <c r="U19" s="12"/>
      <c r="V19" s="12"/>
      <c r="W19" s="12"/>
      <c r="X19" s="12"/>
      <c r="Y19" s="12"/>
      <c r="Z19" s="12"/>
      <c r="AA19" s="12"/>
    </row>
    <row r="20" spans="1:27" ht="12.75" x14ac:dyDescent="0.2">
      <c r="A20" s="8" t="s">
        <v>54</v>
      </c>
      <c r="B20" s="9">
        <v>84.175084179999999</v>
      </c>
      <c r="C20" s="9">
        <v>11</v>
      </c>
      <c r="D20" s="11"/>
      <c r="K20" s="12"/>
      <c r="L20" s="12"/>
      <c r="M20" s="12"/>
      <c r="U20" s="12"/>
      <c r="V20" s="12"/>
      <c r="W20" s="12"/>
      <c r="X20" s="12"/>
      <c r="Y20" s="12"/>
      <c r="Z20" s="12"/>
      <c r="AA20" s="12"/>
    </row>
    <row r="21" spans="1:27" ht="12.75" x14ac:dyDescent="0.2">
      <c r="A21" s="8" t="s">
        <v>54</v>
      </c>
      <c r="B21" s="9">
        <v>72.211476469999994</v>
      </c>
      <c r="C21" s="9">
        <v>6</v>
      </c>
      <c r="D21" s="11"/>
      <c r="K21" s="12"/>
      <c r="L21" s="12"/>
      <c r="M21" s="12"/>
      <c r="U21" s="12"/>
      <c r="V21" s="12"/>
      <c r="W21" s="12"/>
      <c r="X21" s="12"/>
      <c r="Y21" s="12"/>
      <c r="Z21" s="12"/>
      <c r="AA21" s="12"/>
    </row>
    <row r="22" spans="1:27" ht="12.75" x14ac:dyDescent="0.2">
      <c r="A22" s="8" t="s">
        <v>54</v>
      </c>
      <c r="B22" s="9">
        <v>82.417582420000002</v>
      </c>
      <c r="C22" s="9">
        <v>10</v>
      </c>
      <c r="D22" s="11"/>
      <c r="K22" s="12"/>
      <c r="L22" s="12"/>
      <c r="M22" s="12"/>
      <c r="U22" s="12"/>
      <c r="V22" s="12"/>
      <c r="W22" s="12"/>
      <c r="X22" s="12"/>
      <c r="Y22" s="12"/>
      <c r="Z22" s="12"/>
      <c r="AA22" s="12"/>
    </row>
    <row r="23" spans="1:27" ht="12.75" x14ac:dyDescent="0.2">
      <c r="A23" s="8" t="s">
        <v>54</v>
      </c>
      <c r="B23" s="9">
        <v>83.135391920000004</v>
      </c>
      <c r="C23" s="9">
        <v>8</v>
      </c>
      <c r="D23" s="11"/>
      <c r="K23" s="12"/>
      <c r="L23" s="12"/>
      <c r="M23" s="12"/>
      <c r="U23" s="12"/>
      <c r="V23" s="12"/>
      <c r="W23" s="12"/>
      <c r="X23" s="12"/>
      <c r="Y23" s="12"/>
      <c r="Z23" s="12"/>
      <c r="AA23" s="12"/>
    </row>
    <row r="24" spans="1:27" ht="12.75" x14ac:dyDescent="0.2">
      <c r="A24" s="8" t="s">
        <v>54</v>
      </c>
      <c r="B24" s="9">
        <v>97.902097900000001</v>
      </c>
      <c r="C24" s="9">
        <v>17</v>
      </c>
      <c r="D24" s="11"/>
      <c r="K24" s="12"/>
      <c r="L24" s="12"/>
      <c r="M24" s="12"/>
      <c r="U24" s="12"/>
      <c r="V24" s="12"/>
      <c r="W24" s="12"/>
      <c r="X24" s="12"/>
      <c r="Y24" s="12"/>
      <c r="Z24" s="12"/>
      <c r="AA24" s="12"/>
    </row>
    <row r="25" spans="1:27" ht="12.75" x14ac:dyDescent="0.2">
      <c r="A25" s="8" t="s">
        <v>54</v>
      </c>
      <c r="B25" s="9">
        <v>75.975359339999997</v>
      </c>
      <c r="C25" s="9">
        <v>2</v>
      </c>
      <c r="D25" s="11"/>
      <c r="K25" s="12"/>
      <c r="L25" s="12"/>
      <c r="M25" s="12"/>
      <c r="U25" s="12"/>
      <c r="V25" s="12"/>
      <c r="W25" s="12"/>
      <c r="X25" s="12"/>
      <c r="Y25" s="12"/>
      <c r="Z25" s="12"/>
      <c r="AA25" s="12"/>
    </row>
    <row r="26" spans="1:27" ht="12.75" x14ac:dyDescent="0.2">
      <c r="A26" s="8" t="s">
        <v>54</v>
      </c>
      <c r="B26" s="9">
        <v>68.812430629999994</v>
      </c>
      <c r="C26" s="9">
        <v>11</v>
      </c>
      <c r="D26" s="11"/>
      <c r="K26" s="12"/>
      <c r="L26" s="12"/>
      <c r="M26" s="12"/>
      <c r="U26" s="12"/>
      <c r="V26" s="12"/>
      <c r="W26" s="12"/>
      <c r="X26" s="12"/>
      <c r="Y26" s="12"/>
      <c r="Z26" s="12"/>
      <c r="AA26" s="12"/>
    </row>
    <row r="27" spans="1:27" ht="12.75" x14ac:dyDescent="0.2">
      <c r="A27" s="8" t="s">
        <v>54</v>
      </c>
      <c r="B27" s="9">
        <v>76.759061829999993</v>
      </c>
      <c r="C27" s="9">
        <v>3</v>
      </c>
      <c r="D27" s="11"/>
      <c r="K27" s="12"/>
      <c r="L27" s="12"/>
      <c r="M27" s="12"/>
      <c r="U27" s="12"/>
      <c r="V27" s="12"/>
      <c r="W27" s="12"/>
      <c r="X27" s="12"/>
      <c r="Y27" s="12"/>
      <c r="Z27" s="12"/>
      <c r="AA27" s="12"/>
    </row>
    <row r="28" spans="1:27" ht="12.75" x14ac:dyDescent="0.2">
      <c r="A28" s="8" t="s">
        <v>54</v>
      </c>
      <c r="B28" s="9">
        <v>60.133630289999999</v>
      </c>
      <c r="C28" s="9">
        <v>0</v>
      </c>
      <c r="D28" s="11"/>
      <c r="K28" s="12"/>
      <c r="L28" s="12"/>
      <c r="M28" s="12"/>
      <c r="U28" s="12"/>
      <c r="V28" s="12"/>
      <c r="W28" s="12"/>
      <c r="X28" s="12"/>
      <c r="Y28" s="12"/>
      <c r="Z28" s="12"/>
      <c r="AA28" s="12"/>
    </row>
    <row r="29" spans="1:27" ht="12.75" x14ac:dyDescent="0.2">
      <c r="A29" s="8" t="s">
        <v>54</v>
      </c>
      <c r="B29" s="9">
        <v>84.21052632</v>
      </c>
      <c r="C29" s="9">
        <v>22</v>
      </c>
      <c r="D29" s="11"/>
      <c r="K29" s="12"/>
      <c r="L29" s="12"/>
      <c r="M29" s="12"/>
      <c r="U29" s="12"/>
      <c r="V29" s="12"/>
      <c r="W29" s="12"/>
      <c r="X29" s="12"/>
      <c r="Y29" s="12"/>
      <c r="Z29" s="12"/>
      <c r="AA29" s="12"/>
    </row>
    <row r="30" spans="1:27" ht="12.75" x14ac:dyDescent="0.2">
      <c r="A30" s="8" t="s">
        <v>54</v>
      </c>
      <c r="B30" s="9">
        <v>60.689655170000002</v>
      </c>
      <c r="C30" s="9">
        <v>0</v>
      </c>
      <c r="D30" s="11"/>
      <c r="K30" s="12"/>
      <c r="L30" s="12"/>
      <c r="M30" s="12"/>
      <c r="U30" s="12"/>
      <c r="V30" s="12"/>
      <c r="W30" s="12"/>
      <c r="X30" s="12"/>
      <c r="Y30" s="12"/>
      <c r="Z30" s="12"/>
      <c r="AA30" s="12"/>
    </row>
    <row r="31" spans="1:27" ht="12.75" x14ac:dyDescent="0.2">
      <c r="A31" s="8" t="s">
        <v>54</v>
      </c>
      <c r="B31" s="9">
        <v>47.281323880000002</v>
      </c>
      <c r="C31" s="9">
        <v>0</v>
      </c>
      <c r="D31" s="11"/>
      <c r="K31" s="12"/>
      <c r="L31" s="12"/>
      <c r="M31" s="13"/>
      <c r="U31" s="12"/>
      <c r="V31" s="12"/>
      <c r="W31" s="12"/>
      <c r="X31" s="12"/>
      <c r="Y31" s="12"/>
      <c r="Z31" s="12"/>
      <c r="AA31" s="12"/>
    </row>
    <row r="32" spans="1:27" ht="12.75" x14ac:dyDescent="0.2">
      <c r="A32" s="8" t="s">
        <v>54</v>
      </c>
      <c r="B32" s="9">
        <v>86.279209109999996</v>
      </c>
      <c r="C32" s="9">
        <v>8</v>
      </c>
      <c r="D32" s="11"/>
      <c r="K32" s="12"/>
      <c r="L32" s="12"/>
      <c r="M32" s="13"/>
      <c r="U32" s="12"/>
      <c r="V32" s="12"/>
      <c r="W32" s="12"/>
      <c r="X32" s="12"/>
      <c r="Y32" s="12"/>
      <c r="Z32" s="12"/>
      <c r="AA32" s="12"/>
    </row>
    <row r="33" spans="1:27" ht="12.75" x14ac:dyDescent="0.2">
      <c r="A33" s="8" t="s">
        <v>54</v>
      </c>
      <c r="B33" s="9">
        <v>72.051133059999998</v>
      </c>
      <c r="C33" s="9">
        <v>0</v>
      </c>
      <c r="D33" s="11"/>
      <c r="K33" s="12"/>
      <c r="L33" s="12"/>
      <c r="M33" s="13"/>
      <c r="U33" s="12"/>
      <c r="V33" s="12"/>
      <c r="W33" s="12"/>
      <c r="X33" s="12"/>
      <c r="Y33" s="12"/>
      <c r="Z33" s="12"/>
      <c r="AA33" s="12"/>
    </row>
    <row r="34" spans="1:27" ht="12.75" x14ac:dyDescent="0.2">
      <c r="A34" s="8" t="s">
        <v>54</v>
      </c>
      <c r="B34" s="9">
        <v>85.276482349999995</v>
      </c>
      <c r="C34" s="9">
        <v>13</v>
      </c>
      <c r="D34" s="11"/>
      <c r="K34" s="12"/>
      <c r="L34" s="12"/>
      <c r="M34" s="13"/>
      <c r="U34" s="12"/>
      <c r="V34" s="12"/>
      <c r="W34" s="12"/>
      <c r="X34" s="12"/>
      <c r="Y34" s="12"/>
      <c r="Z34" s="12"/>
      <c r="AA34" s="12"/>
    </row>
    <row r="35" spans="1:27" ht="12.75" x14ac:dyDescent="0.2">
      <c r="A35" s="8" t="s">
        <v>54</v>
      </c>
      <c r="B35" s="9">
        <v>73.215375230000006</v>
      </c>
      <c r="C35" s="9">
        <v>12</v>
      </c>
      <c r="D35" s="11"/>
      <c r="K35" s="12"/>
      <c r="L35" s="12"/>
      <c r="M35" s="13"/>
      <c r="U35" s="12"/>
      <c r="V35" s="12"/>
      <c r="W35" s="12"/>
      <c r="X35" s="12"/>
      <c r="Y35" s="12"/>
      <c r="Z35" s="12"/>
      <c r="AA35" s="12"/>
    </row>
    <row r="36" spans="1:27" ht="12.75" x14ac:dyDescent="0.2">
      <c r="A36" s="8" t="s">
        <v>54</v>
      </c>
      <c r="B36" s="9">
        <v>80.40739748</v>
      </c>
      <c r="C36" s="9">
        <v>11</v>
      </c>
      <c r="D36" s="11"/>
      <c r="K36" s="12"/>
      <c r="L36" s="12"/>
      <c r="M36" s="13"/>
      <c r="U36" s="12"/>
      <c r="V36" s="12"/>
      <c r="W36" s="12"/>
      <c r="X36" s="12"/>
      <c r="Y36" s="12"/>
      <c r="Z36" s="12"/>
      <c r="AA36" s="12"/>
    </row>
    <row r="37" spans="1:27" ht="12.75" x14ac:dyDescent="0.2">
      <c r="A37" s="8" t="s">
        <v>54</v>
      </c>
      <c r="B37" s="9">
        <v>78.096400239999994</v>
      </c>
      <c r="C37" s="9">
        <v>7</v>
      </c>
      <c r="D37" s="11"/>
      <c r="K37" s="12"/>
      <c r="L37" s="12"/>
      <c r="M37" s="13"/>
      <c r="U37" s="12"/>
      <c r="V37" s="12"/>
      <c r="W37" s="12"/>
      <c r="X37" s="12"/>
      <c r="Y37" s="12"/>
      <c r="Z37" s="12"/>
      <c r="AA37" s="12"/>
    </row>
    <row r="38" spans="1:27" ht="12.75" x14ac:dyDescent="0.2">
      <c r="A38" s="8" t="s">
        <v>54</v>
      </c>
      <c r="B38" s="9">
        <v>81.269841270000001</v>
      </c>
      <c r="C38" s="9">
        <v>7</v>
      </c>
      <c r="D38" s="11"/>
      <c r="K38" s="12"/>
      <c r="L38" s="12"/>
      <c r="M38" s="13"/>
      <c r="U38" s="12"/>
      <c r="V38" s="12"/>
      <c r="W38" s="12"/>
      <c r="X38" s="12"/>
      <c r="Y38" s="12"/>
      <c r="Z38" s="12"/>
      <c r="AA38" s="12"/>
    </row>
    <row r="39" spans="1:27" ht="12.75" x14ac:dyDescent="0.2">
      <c r="A39" s="8" t="s">
        <v>54</v>
      </c>
      <c r="B39" s="9">
        <v>67.848882040000007</v>
      </c>
      <c r="C39" s="9">
        <v>5</v>
      </c>
      <c r="D39" s="11"/>
      <c r="K39" s="12"/>
      <c r="L39" s="12"/>
      <c r="M39" s="13"/>
      <c r="U39" s="12"/>
      <c r="V39" s="12"/>
      <c r="W39" s="12"/>
      <c r="X39" s="12"/>
      <c r="Y39" s="12"/>
      <c r="Z39" s="12"/>
      <c r="AA39" s="12"/>
    </row>
    <row r="40" spans="1:27" ht="12.75" x14ac:dyDescent="0.2">
      <c r="A40" s="8" t="s">
        <v>54</v>
      </c>
      <c r="B40" s="9">
        <v>66.408411729999997</v>
      </c>
      <c r="C40" s="9">
        <v>2</v>
      </c>
      <c r="D40" s="11"/>
      <c r="K40" s="12"/>
      <c r="L40" s="12"/>
      <c r="M40" s="13"/>
      <c r="U40" s="12"/>
      <c r="V40" s="12"/>
      <c r="W40" s="12"/>
      <c r="X40" s="12"/>
      <c r="Y40" s="12"/>
      <c r="Z40" s="12"/>
      <c r="AA40" s="12"/>
    </row>
    <row r="41" spans="1:27" ht="12.75" x14ac:dyDescent="0.2">
      <c r="A41" s="8" t="s">
        <v>54</v>
      </c>
      <c r="B41" s="9">
        <v>81.460674159999996</v>
      </c>
      <c r="C41" s="9">
        <v>11</v>
      </c>
      <c r="D41" s="11"/>
      <c r="K41" s="12"/>
      <c r="L41" s="12"/>
      <c r="M41" s="13"/>
      <c r="U41" s="12"/>
      <c r="V41" s="12"/>
      <c r="W41" s="12"/>
      <c r="X41" s="12"/>
      <c r="Y41" s="12"/>
      <c r="Z41" s="12"/>
      <c r="AA41" s="12"/>
    </row>
    <row r="42" spans="1:27" ht="12.75" x14ac:dyDescent="0.2">
      <c r="A42" s="8" t="s">
        <v>54</v>
      </c>
      <c r="B42" s="9">
        <v>104.02476780000001</v>
      </c>
      <c r="C42" s="9">
        <v>18</v>
      </c>
      <c r="D42" s="11"/>
      <c r="K42" s="12"/>
      <c r="L42" s="12"/>
      <c r="M42" s="13"/>
      <c r="U42" s="12"/>
      <c r="V42" s="12"/>
      <c r="W42" s="12"/>
      <c r="X42" s="12"/>
      <c r="Y42" s="12"/>
      <c r="Z42" s="12"/>
      <c r="AA42" s="12"/>
    </row>
    <row r="43" spans="1:27" ht="12.75" x14ac:dyDescent="0.2">
      <c r="A43" s="8" t="s">
        <v>54</v>
      </c>
      <c r="B43" s="9">
        <v>56.529112490000003</v>
      </c>
      <c r="C43" s="9">
        <v>0</v>
      </c>
      <c r="D43" s="11"/>
      <c r="K43" s="12"/>
      <c r="L43" s="12"/>
      <c r="M43" s="13"/>
      <c r="U43" s="12"/>
      <c r="V43" s="12"/>
      <c r="W43" s="12"/>
      <c r="X43" s="12"/>
      <c r="Y43" s="12"/>
      <c r="Z43" s="12"/>
      <c r="AA43" s="12"/>
    </row>
    <row r="44" spans="1:27" ht="12.75" x14ac:dyDescent="0.2">
      <c r="A44" s="8" t="s">
        <v>54</v>
      </c>
      <c r="B44" s="9">
        <v>76.604554870000001</v>
      </c>
      <c r="C44" s="9">
        <v>7</v>
      </c>
      <c r="D44" s="11"/>
      <c r="K44" s="12"/>
      <c r="L44" s="12"/>
      <c r="M44" s="13"/>
      <c r="U44" s="12"/>
      <c r="V44" s="12"/>
      <c r="W44" s="12"/>
      <c r="X44" s="12"/>
      <c r="Y44" s="12"/>
      <c r="Z44" s="12"/>
      <c r="AA44" s="12"/>
    </row>
    <row r="45" spans="1:27" ht="12.75" x14ac:dyDescent="0.2">
      <c r="A45" s="8" t="s">
        <v>54</v>
      </c>
      <c r="B45" s="9">
        <v>56.75508945</v>
      </c>
      <c r="C45" s="9">
        <v>0</v>
      </c>
      <c r="D45" s="11"/>
      <c r="K45" s="12"/>
      <c r="L45" s="12"/>
      <c r="M45" s="13"/>
      <c r="U45" s="12"/>
      <c r="V45" s="12"/>
      <c r="W45" s="12"/>
      <c r="X45" s="12"/>
      <c r="Y45" s="12"/>
      <c r="Z45" s="12"/>
      <c r="AA45" s="12"/>
    </row>
    <row r="46" spans="1:27" ht="12.75" x14ac:dyDescent="0.2">
      <c r="A46" s="8" t="s">
        <v>54</v>
      </c>
      <c r="B46" s="9">
        <v>66.181336860000002</v>
      </c>
      <c r="C46" s="9">
        <v>0</v>
      </c>
      <c r="D46" s="11"/>
      <c r="K46" s="12"/>
      <c r="L46" s="12"/>
      <c r="M46" s="13"/>
      <c r="U46" s="12"/>
      <c r="V46" s="12"/>
      <c r="W46" s="12"/>
      <c r="X46" s="12"/>
      <c r="Y46" s="12"/>
      <c r="Z46" s="12"/>
      <c r="AA46" s="12"/>
    </row>
    <row r="47" spans="1:27" ht="12.75" x14ac:dyDescent="0.2">
      <c r="A47" s="8" t="s">
        <v>54</v>
      </c>
      <c r="B47" s="9">
        <v>85.697741750000006</v>
      </c>
      <c r="C47" s="9">
        <v>25</v>
      </c>
      <c r="D47" s="11"/>
      <c r="K47" s="12"/>
      <c r="L47" s="12"/>
      <c r="M47" s="13"/>
      <c r="U47" s="12"/>
      <c r="V47" s="12"/>
      <c r="W47" s="12"/>
      <c r="X47" s="12"/>
      <c r="Y47" s="12"/>
      <c r="Z47" s="12"/>
      <c r="AA47" s="12"/>
    </row>
    <row r="48" spans="1:27" ht="12.75" x14ac:dyDescent="0.2">
      <c r="A48" s="8" t="s">
        <v>54</v>
      </c>
      <c r="B48" s="9">
        <v>82.603254070000006</v>
      </c>
      <c r="C48" s="9">
        <v>20</v>
      </c>
      <c r="D48" s="11"/>
      <c r="K48" s="12"/>
      <c r="L48" s="12"/>
      <c r="M48" s="13"/>
      <c r="U48" s="12"/>
      <c r="V48" s="12"/>
      <c r="W48" s="12"/>
      <c r="X48" s="12"/>
      <c r="Y48" s="12"/>
      <c r="Z48" s="12"/>
      <c r="AA48" s="12"/>
    </row>
    <row r="49" spans="1:27" ht="12.75" x14ac:dyDescent="0.2">
      <c r="A49" s="8" t="s">
        <v>54</v>
      </c>
      <c r="B49" s="9">
        <v>82.663605050000001</v>
      </c>
      <c r="C49" s="9">
        <v>10</v>
      </c>
      <c r="D49" s="11"/>
      <c r="K49" s="12"/>
      <c r="L49" s="12"/>
      <c r="M49" s="13"/>
      <c r="U49" s="12"/>
      <c r="V49" s="12"/>
      <c r="W49" s="12"/>
      <c r="X49" s="12"/>
      <c r="Y49" s="12"/>
      <c r="Z49" s="12"/>
      <c r="AA49" s="12"/>
    </row>
    <row r="50" spans="1:27" ht="12.75" x14ac:dyDescent="0.2">
      <c r="A50" s="8" t="s">
        <v>54</v>
      </c>
      <c r="B50" s="9">
        <v>62.54442075</v>
      </c>
      <c r="C50" s="9">
        <v>1</v>
      </c>
      <c r="D50" s="11"/>
      <c r="K50" s="12"/>
      <c r="L50" s="12"/>
      <c r="M50" s="13"/>
      <c r="U50" s="12"/>
      <c r="V50" s="12"/>
      <c r="W50" s="12"/>
      <c r="X50" s="12"/>
      <c r="Y50" s="12"/>
      <c r="Z50" s="12"/>
      <c r="AA50" s="12"/>
    </row>
    <row r="51" spans="1:27" ht="12.75" x14ac:dyDescent="0.2">
      <c r="A51" s="8" t="s">
        <v>54</v>
      </c>
      <c r="B51" s="9">
        <v>78.720787209999997</v>
      </c>
      <c r="C51" s="9">
        <v>17</v>
      </c>
      <c r="D51" s="11"/>
      <c r="K51" s="12"/>
      <c r="L51" s="12"/>
      <c r="M51" s="13"/>
      <c r="U51" s="12"/>
      <c r="V51" s="12"/>
      <c r="W51" s="12"/>
      <c r="X51" s="12"/>
      <c r="Y51" s="12"/>
      <c r="Z51" s="12"/>
      <c r="AA51" s="12"/>
    </row>
    <row r="52" spans="1:27" ht="12.75" x14ac:dyDescent="0.2">
      <c r="A52" s="8" t="s">
        <v>54</v>
      </c>
      <c r="B52" s="9">
        <v>74.829931970000004</v>
      </c>
      <c r="C52" s="9">
        <v>10</v>
      </c>
      <c r="D52" s="11"/>
      <c r="K52" s="12"/>
      <c r="L52" s="12"/>
      <c r="M52" s="13"/>
      <c r="U52" s="12"/>
      <c r="V52" s="12"/>
      <c r="W52" s="12"/>
      <c r="X52" s="12"/>
      <c r="Y52" s="12"/>
      <c r="Z52" s="12"/>
      <c r="AA52" s="12"/>
    </row>
    <row r="53" spans="1:27" ht="12.75" x14ac:dyDescent="0.2">
      <c r="A53" s="8" t="s">
        <v>54</v>
      </c>
      <c r="B53" s="9">
        <v>64.927536230000001</v>
      </c>
      <c r="C53" s="9">
        <v>1</v>
      </c>
      <c r="D53" s="11"/>
      <c r="K53" s="12"/>
      <c r="L53" s="12"/>
      <c r="M53" s="13"/>
      <c r="U53" s="12"/>
      <c r="V53" s="12"/>
      <c r="W53" s="12"/>
      <c r="X53" s="12"/>
      <c r="Y53" s="12"/>
      <c r="Z53" s="12"/>
      <c r="AA53" s="12"/>
    </row>
    <row r="54" spans="1:27" ht="12.75" x14ac:dyDescent="0.2">
      <c r="A54" s="8" t="s">
        <v>54</v>
      </c>
      <c r="B54" s="9">
        <v>66.992323799999994</v>
      </c>
      <c r="C54" s="9">
        <v>7</v>
      </c>
      <c r="D54" s="11"/>
      <c r="K54" s="12"/>
      <c r="L54" s="12"/>
      <c r="M54" s="13"/>
      <c r="U54" s="12"/>
      <c r="V54" s="12"/>
      <c r="W54" s="12"/>
      <c r="X54" s="12"/>
      <c r="Y54" s="12"/>
      <c r="Z54" s="12"/>
      <c r="AA54" s="12"/>
    </row>
    <row r="55" spans="1:27" ht="12.75" x14ac:dyDescent="0.2">
      <c r="A55" s="8" t="s">
        <v>54</v>
      </c>
      <c r="B55" s="9">
        <v>68.610634649999994</v>
      </c>
      <c r="C55" s="9">
        <v>5</v>
      </c>
      <c r="D55" s="11"/>
      <c r="K55" s="12"/>
      <c r="L55" s="12"/>
      <c r="M55" s="13"/>
      <c r="U55" s="12"/>
      <c r="V55" s="12"/>
      <c r="W55" s="12"/>
      <c r="X55" s="12"/>
      <c r="Y55" s="12"/>
      <c r="Z55" s="12"/>
      <c r="AA55" s="12"/>
    </row>
    <row r="56" spans="1:27" ht="12.75" x14ac:dyDescent="0.2">
      <c r="A56" s="8" t="s">
        <v>54</v>
      </c>
      <c r="B56" s="9">
        <v>103.6806636</v>
      </c>
      <c r="C56" s="9">
        <v>24</v>
      </c>
      <c r="D56" s="11"/>
      <c r="K56" s="12"/>
      <c r="L56" s="12"/>
      <c r="M56" s="13"/>
      <c r="U56" s="12"/>
      <c r="V56" s="12"/>
      <c r="W56" s="12"/>
      <c r="X56" s="12"/>
      <c r="Y56" s="12"/>
      <c r="Z56" s="12"/>
      <c r="AA56" s="12"/>
    </row>
    <row r="57" spans="1:27" ht="12.75" x14ac:dyDescent="0.2">
      <c r="A57" s="8" t="s">
        <v>54</v>
      </c>
      <c r="B57" s="9">
        <v>68.681318680000004</v>
      </c>
      <c r="C57" s="9">
        <v>3</v>
      </c>
      <c r="D57" s="11"/>
      <c r="K57" s="12"/>
      <c r="L57" s="12"/>
      <c r="M57" s="13"/>
      <c r="U57" s="12"/>
      <c r="V57" s="12"/>
      <c r="W57" s="12"/>
      <c r="X57" s="12"/>
      <c r="Y57" s="12"/>
      <c r="Z57" s="12"/>
      <c r="AA57" s="12"/>
    </row>
    <row r="58" spans="1:27" ht="12.75" x14ac:dyDescent="0.2">
      <c r="A58" s="8" t="s">
        <v>54</v>
      </c>
      <c r="B58" s="9">
        <v>73.304825899999997</v>
      </c>
      <c r="C58" s="9">
        <v>9</v>
      </c>
      <c r="D58" s="11"/>
      <c r="K58" s="12"/>
      <c r="L58" s="12"/>
      <c r="M58" s="13"/>
      <c r="U58" s="12"/>
      <c r="V58" s="12"/>
      <c r="W58" s="12"/>
      <c r="X58" s="12"/>
      <c r="Y58" s="12"/>
      <c r="Z58" s="12"/>
      <c r="AA58" s="12"/>
    </row>
    <row r="59" spans="1:27" ht="12.75" x14ac:dyDescent="0.2">
      <c r="A59" s="8" t="s">
        <v>54</v>
      </c>
      <c r="B59" s="9">
        <v>51.58264947</v>
      </c>
      <c r="C59" s="9">
        <v>0</v>
      </c>
      <c r="D59" s="11"/>
      <c r="K59" s="12"/>
      <c r="L59" s="12"/>
      <c r="M59" s="13"/>
      <c r="U59" s="12"/>
      <c r="V59" s="12"/>
      <c r="W59" s="12"/>
      <c r="X59" s="12"/>
      <c r="Y59" s="12"/>
      <c r="Z59" s="12"/>
      <c r="AA59" s="12"/>
    </row>
    <row r="60" spans="1:27" ht="12.75" x14ac:dyDescent="0.2">
      <c r="A60" s="8" t="s">
        <v>54</v>
      </c>
      <c r="B60" s="9">
        <v>58.927519150000002</v>
      </c>
      <c r="C60" s="9">
        <v>0</v>
      </c>
      <c r="D60" s="11"/>
      <c r="K60" s="12"/>
      <c r="L60" s="12"/>
      <c r="M60" s="13"/>
      <c r="U60" s="12"/>
      <c r="V60" s="12"/>
      <c r="W60" s="12"/>
      <c r="X60" s="12"/>
      <c r="Y60" s="12"/>
      <c r="Z60" s="12"/>
      <c r="AA60" s="12"/>
    </row>
    <row r="61" spans="1:27" ht="12.75" x14ac:dyDescent="0.2">
      <c r="A61" s="8" t="s">
        <v>54</v>
      </c>
      <c r="B61" s="9">
        <v>78.911564630000001</v>
      </c>
      <c r="C61" s="9">
        <v>4</v>
      </c>
      <c r="D61" s="11"/>
      <c r="K61" s="12"/>
      <c r="L61" s="12"/>
      <c r="M61" s="13"/>
      <c r="U61" s="12"/>
      <c r="V61" s="12"/>
      <c r="W61" s="12"/>
      <c r="X61" s="12"/>
      <c r="Y61" s="12"/>
      <c r="Z61" s="12"/>
      <c r="AA61" s="12"/>
    </row>
    <row r="62" spans="1:27" ht="12.75" x14ac:dyDescent="0.2">
      <c r="A62" s="8" t="s">
        <v>54</v>
      </c>
      <c r="B62" s="9">
        <v>77.336197639999995</v>
      </c>
      <c r="C62" s="9">
        <v>10</v>
      </c>
      <c r="D62" s="11"/>
      <c r="K62" s="12"/>
      <c r="L62" s="12"/>
      <c r="M62" s="13"/>
      <c r="U62" s="12"/>
      <c r="V62" s="12"/>
      <c r="W62" s="12"/>
      <c r="X62" s="12"/>
      <c r="Y62" s="12"/>
      <c r="Z62" s="12"/>
      <c r="AA62" s="12"/>
    </row>
    <row r="63" spans="1:27" ht="12.75" x14ac:dyDescent="0.2">
      <c r="A63" s="8" t="s">
        <v>54</v>
      </c>
      <c r="B63" s="9">
        <v>73.858114670000006</v>
      </c>
      <c r="C63" s="9">
        <v>5</v>
      </c>
      <c r="D63" s="11"/>
      <c r="K63" s="12"/>
      <c r="L63" s="12"/>
      <c r="M63" s="13"/>
      <c r="U63" s="12"/>
      <c r="V63" s="12"/>
      <c r="W63" s="12"/>
      <c r="X63" s="12"/>
      <c r="Y63" s="12"/>
      <c r="Z63" s="12"/>
      <c r="AA63" s="12"/>
    </row>
    <row r="64" spans="1:27" ht="12.75" x14ac:dyDescent="0.2">
      <c r="A64" s="8" t="s">
        <v>54</v>
      </c>
      <c r="B64" s="9">
        <v>66.81852696</v>
      </c>
      <c r="C64" s="9">
        <v>3</v>
      </c>
      <c r="D64" s="11"/>
      <c r="K64" s="12"/>
      <c r="L64" s="12"/>
      <c r="M64" s="13"/>
      <c r="U64" s="12"/>
      <c r="V64" s="12"/>
      <c r="W64" s="12"/>
      <c r="X64" s="12"/>
      <c r="Y64" s="12"/>
      <c r="Z64" s="12"/>
      <c r="AA64" s="12"/>
    </row>
    <row r="65" spans="1:27" ht="12.75" x14ac:dyDescent="0.2">
      <c r="A65" s="8" t="s">
        <v>54</v>
      </c>
      <c r="B65" s="9">
        <v>80.499653019999997</v>
      </c>
      <c r="C65" s="9">
        <v>7</v>
      </c>
      <c r="D65" s="11"/>
      <c r="K65" s="12"/>
      <c r="L65" s="12"/>
      <c r="M65" s="13"/>
      <c r="U65" s="12"/>
      <c r="V65" s="12"/>
      <c r="W65" s="12"/>
      <c r="X65" s="12"/>
      <c r="Y65" s="12"/>
      <c r="Z65" s="12"/>
      <c r="AA65" s="12"/>
    </row>
    <row r="66" spans="1:27" ht="12.75" x14ac:dyDescent="0.2">
      <c r="A66" s="8" t="s">
        <v>54</v>
      </c>
      <c r="B66" s="9">
        <v>69.408740359999996</v>
      </c>
      <c r="C66" s="9">
        <v>9</v>
      </c>
      <c r="D66" s="11"/>
      <c r="H66" s="12"/>
      <c r="I66" s="11"/>
      <c r="K66" s="12"/>
      <c r="L66" s="12"/>
      <c r="M66" s="13"/>
      <c r="U66" s="12"/>
      <c r="V66" s="12"/>
      <c r="W66" s="12"/>
      <c r="X66" s="12"/>
      <c r="Y66" s="12"/>
      <c r="Z66" s="12"/>
      <c r="AA66" s="12"/>
    </row>
    <row r="67" spans="1:27" ht="12.75" x14ac:dyDescent="0.2">
      <c r="A67" s="8" t="s">
        <v>54</v>
      </c>
      <c r="B67" s="9">
        <v>83.983203360000005</v>
      </c>
      <c r="C67" s="9">
        <v>9</v>
      </c>
      <c r="D67" s="11"/>
      <c r="H67" s="12"/>
      <c r="I67" s="11"/>
      <c r="K67" s="12"/>
      <c r="L67" s="12"/>
      <c r="M67" s="13"/>
      <c r="U67" s="12"/>
      <c r="V67" s="12"/>
      <c r="W67" s="12"/>
      <c r="X67" s="12"/>
      <c r="Y67" s="12"/>
      <c r="Z67" s="12"/>
      <c r="AA67" s="12"/>
    </row>
    <row r="68" spans="1:27" ht="12.75" x14ac:dyDescent="0.2">
      <c r="A68" s="8" t="s">
        <v>32</v>
      </c>
      <c r="B68" s="9">
        <v>49.474335189999998</v>
      </c>
      <c r="C68" s="9">
        <v>0</v>
      </c>
      <c r="D68" s="11"/>
      <c r="H68" s="12"/>
      <c r="I68" s="11"/>
      <c r="K68" s="12"/>
      <c r="L68" s="12"/>
      <c r="M68" s="13"/>
      <c r="U68" s="12"/>
      <c r="V68" s="12"/>
      <c r="W68" s="12"/>
      <c r="X68" s="12"/>
      <c r="Y68" s="12"/>
      <c r="Z68" s="12"/>
      <c r="AA68" s="12"/>
    </row>
    <row r="69" spans="1:27" ht="12.75" x14ac:dyDescent="0.2">
      <c r="A69" s="8" t="s">
        <v>32</v>
      </c>
      <c r="B69" s="9">
        <v>51.604782880000002</v>
      </c>
      <c r="C69" s="9">
        <v>0</v>
      </c>
      <c r="D69" s="11"/>
      <c r="H69" s="12"/>
      <c r="I69" s="11"/>
      <c r="K69" s="12"/>
      <c r="L69" s="12"/>
      <c r="M69" s="13"/>
      <c r="U69" s="12"/>
      <c r="V69" s="12"/>
      <c r="W69" s="12"/>
      <c r="X69" s="12"/>
      <c r="Y69" s="12"/>
      <c r="Z69" s="12"/>
      <c r="AA69" s="12"/>
    </row>
    <row r="70" spans="1:27" ht="12.75" x14ac:dyDescent="0.2">
      <c r="A70" s="8" t="s">
        <v>32</v>
      </c>
      <c r="B70" s="9">
        <v>35.27525387</v>
      </c>
      <c r="C70" s="9">
        <v>0</v>
      </c>
      <c r="D70" s="11"/>
      <c r="H70" s="12"/>
      <c r="I70" s="11"/>
      <c r="K70" s="12"/>
      <c r="L70" s="12"/>
      <c r="M70" s="13"/>
      <c r="U70" s="12"/>
      <c r="V70" s="12"/>
      <c r="W70" s="12"/>
      <c r="X70" s="12"/>
      <c r="Y70" s="12"/>
      <c r="Z70" s="12"/>
      <c r="AA70" s="12"/>
    </row>
    <row r="71" spans="1:27" ht="12.75" x14ac:dyDescent="0.2">
      <c r="A71" s="8" t="s">
        <v>32</v>
      </c>
      <c r="B71" s="9">
        <v>41.666666669999998</v>
      </c>
      <c r="C71" s="9">
        <v>0</v>
      </c>
      <c r="D71" s="11"/>
      <c r="H71" s="12"/>
      <c r="I71" s="11"/>
      <c r="K71" s="12"/>
      <c r="L71" s="12"/>
      <c r="M71" s="13"/>
      <c r="U71" s="12"/>
      <c r="V71" s="12"/>
      <c r="W71" s="12"/>
      <c r="X71" s="12"/>
      <c r="Y71" s="12"/>
      <c r="Z71" s="12"/>
      <c r="AA71" s="12"/>
    </row>
    <row r="72" spans="1:27" ht="12.75" x14ac:dyDescent="0.2">
      <c r="A72" s="8" t="s">
        <v>32</v>
      </c>
      <c r="B72" s="9">
        <v>38.866396760000001</v>
      </c>
      <c r="C72" s="9">
        <v>0</v>
      </c>
      <c r="D72" s="11"/>
      <c r="H72" s="12"/>
      <c r="I72" s="11"/>
      <c r="K72" s="12"/>
      <c r="L72" s="12"/>
      <c r="M72" s="13"/>
      <c r="U72" s="12"/>
      <c r="V72" s="12"/>
      <c r="W72" s="12"/>
      <c r="X72" s="12"/>
      <c r="Y72" s="12"/>
      <c r="Z72" s="12"/>
      <c r="AA72" s="12"/>
    </row>
    <row r="73" spans="1:27" ht="12.75" x14ac:dyDescent="0.2">
      <c r="A73" s="8" t="s">
        <v>32</v>
      </c>
      <c r="B73" s="9">
        <v>47.155304970000003</v>
      </c>
      <c r="C73" s="9">
        <v>0</v>
      </c>
      <c r="D73" s="11"/>
      <c r="H73" s="12"/>
      <c r="I73" s="11"/>
      <c r="K73" s="12"/>
      <c r="L73" s="12"/>
      <c r="M73" s="13"/>
      <c r="U73" s="12"/>
      <c r="V73" s="12"/>
      <c r="W73" s="12"/>
      <c r="X73" s="12"/>
      <c r="Y73" s="12"/>
      <c r="Z73" s="12"/>
      <c r="AA73" s="12"/>
    </row>
    <row r="74" spans="1:27" ht="12.75" x14ac:dyDescent="0.2">
      <c r="A74" s="8" t="s">
        <v>32</v>
      </c>
      <c r="B74" s="9">
        <v>52.781740370000001</v>
      </c>
      <c r="C74" s="9">
        <v>0</v>
      </c>
      <c r="D74" s="11"/>
      <c r="H74" s="12"/>
      <c r="I74" s="11"/>
      <c r="K74" s="12"/>
      <c r="L74" s="12"/>
      <c r="M74" s="13"/>
      <c r="U74" s="12"/>
      <c r="V74" s="12"/>
      <c r="W74" s="12"/>
      <c r="X74" s="12"/>
      <c r="Y74" s="12"/>
      <c r="Z74" s="12"/>
      <c r="AA74" s="12"/>
    </row>
    <row r="75" spans="1:27" ht="12.75" x14ac:dyDescent="0.2">
      <c r="A75" s="8" t="s">
        <v>32</v>
      </c>
      <c r="B75" s="9">
        <v>47.868361999999998</v>
      </c>
      <c r="C75" s="9">
        <v>0</v>
      </c>
      <c r="D75" s="11"/>
      <c r="H75" s="12"/>
      <c r="I75" s="11"/>
      <c r="K75" s="12"/>
      <c r="L75" s="12"/>
      <c r="M75" s="13"/>
      <c r="U75" s="12"/>
      <c r="V75" s="12"/>
      <c r="W75" s="12"/>
      <c r="X75" s="12"/>
      <c r="Y75" s="12"/>
      <c r="Z75" s="12"/>
      <c r="AA75" s="12"/>
    </row>
    <row r="76" spans="1:27" ht="12.75" x14ac:dyDescent="0.2">
      <c r="A76" s="8" t="s">
        <v>32</v>
      </c>
      <c r="B76" s="9">
        <v>57.887120119999999</v>
      </c>
      <c r="C76" s="9">
        <v>8</v>
      </c>
      <c r="D76" s="11"/>
      <c r="H76" s="12"/>
      <c r="I76" s="11"/>
      <c r="K76" s="12"/>
      <c r="L76" s="12"/>
      <c r="M76" s="13"/>
      <c r="U76" s="12"/>
      <c r="V76" s="12"/>
      <c r="W76" s="12"/>
      <c r="X76" s="12"/>
      <c r="Y76" s="12"/>
      <c r="Z76" s="12"/>
      <c r="AA76" s="12"/>
    </row>
    <row r="77" spans="1:27" ht="12.75" x14ac:dyDescent="0.2">
      <c r="A77" s="8" t="s">
        <v>32</v>
      </c>
      <c r="B77" s="9">
        <v>56.224899600000001</v>
      </c>
      <c r="C77" s="9">
        <v>0</v>
      </c>
      <c r="D77" s="11"/>
      <c r="H77" s="12"/>
      <c r="I77" s="11"/>
      <c r="K77" s="12"/>
      <c r="L77" s="12"/>
      <c r="M77" s="13"/>
      <c r="U77" s="12"/>
      <c r="V77" s="12"/>
      <c r="W77" s="12"/>
      <c r="X77" s="12"/>
      <c r="Y77" s="12"/>
      <c r="Z77" s="12"/>
      <c r="AA77" s="12"/>
    </row>
    <row r="78" spans="1:27" ht="12.75" x14ac:dyDescent="0.2">
      <c r="A78" s="8" t="s">
        <v>32</v>
      </c>
      <c r="B78" s="9">
        <v>44.476327120000001</v>
      </c>
      <c r="C78" s="9">
        <v>0</v>
      </c>
      <c r="D78" s="11"/>
      <c r="H78" s="12"/>
      <c r="I78" s="11"/>
      <c r="K78" s="12"/>
      <c r="L78" s="12"/>
      <c r="M78" s="13"/>
      <c r="U78" s="12"/>
      <c r="V78" s="12"/>
      <c r="W78" s="12"/>
      <c r="X78" s="12"/>
      <c r="Y78" s="12"/>
      <c r="Z78" s="12"/>
      <c r="AA78" s="12"/>
    </row>
    <row r="79" spans="1:27" ht="12.75" x14ac:dyDescent="0.2">
      <c r="A79" s="8" t="s">
        <v>32</v>
      </c>
      <c r="B79" s="9">
        <v>55.210489989999999</v>
      </c>
      <c r="C79" s="9">
        <v>0</v>
      </c>
      <c r="D79" s="11"/>
      <c r="H79" s="12"/>
      <c r="I79" s="11"/>
      <c r="K79" s="12"/>
      <c r="L79" s="12"/>
      <c r="M79" s="13"/>
      <c r="U79" s="12"/>
      <c r="V79" s="12"/>
      <c r="W79" s="12"/>
      <c r="X79" s="12"/>
      <c r="Y79" s="12"/>
      <c r="Z79" s="12"/>
      <c r="AA79" s="12"/>
    </row>
    <row r="80" spans="1:27" ht="12.75" x14ac:dyDescent="0.2">
      <c r="A80" s="8" t="s">
        <v>32</v>
      </c>
      <c r="B80" s="9">
        <v>34.822104469999999</v>
      </c>
      <c r="C80" s="9">
        <v>0</v>
      </c>
      <c r="D80" s="11"/>
      <c r="H80" s="12"/>
      <c r="I80" s="11"/>
      <c r="K80" s="12"/>
      <c r="L80" s="12"/>
      <c r="M80" s="12"/>
      <c r="U80" s="12"/>
      <c r="V80" s="12"/>
      <c r="W80" s="12"/>
      <c r="X80" s="12"/>
      <c r="Y80" s="12"/>
      <c r="Z80" s="12"/>
      <c r="AA80" s="12"/>
    </row>
    <row r="81" spans="1:27" ht="12.75" x14ac:dyDescent="0.2">
      <c r="A81" s="8" t="s">
        <v>32</v>
      </c>
      <c r="B81" s="9">
        <v>61.736334409999998</v>
      </c>
      <c r="C81" s="9">
        <v>4</v>
      </c>
      <c r="D81" s="11"/>
      <c r="H81" s="12"/>
      <c r="I81" s="11"/>
      <c r="K81" s="12"/>
      <c r="L81" s="12"/>
      <c r="M81" s="12"/>
      <c r="U81" s="12"/>
      <c r="V81" s="12"/>
      <c r="W81" s="12"/>
      <c r="X81" s="12"/>
      <c r="Y81" s="12"/>
      <c r="Z81" s="12"/>
      <c r="AA81" s="12"/>
    </row>
    <row r="82" spans="1:27" ht="12.75" x14ac:dyDescent="0.2">
      <c r="A82" s="8" t="s">
        <v>32</v>
      </c>
      <c r="B82" s="9">
        <v>59.236165239999998</v>
      </c>
      <c r="C82" s="9">
        <v>9</v>
      </c>
      <c r="D82" s="11"/>
      <c r="H82" s="12"/>
      <c r="I82" s="11"/>
      <c r="K82" s="12"/>
      <c r="L82" s="12"/>
      <c r="M82" s="12"/>
      <c r="U82" s="12"/>
      <c r="V82" s="12"/>
      <c r="W82" s="12"/>
      <c r="X82" s="12"/>
      <c r="Y82" s="12"/>
      <c r="Z82" s="12"/>
      <c r="AA82" s="12"/>
    </row>
    <row r="83" spans="1:27" ht="12.75" x14ac:dyDescent="0.2">
      <c r="A83" s="8" t="s">
        <v>32</v>
      </c>
      <c r="B83" s="9">
        <v>54.193548389999997</v>
      </c>
      <c r="C83" s="9">
        <v>0</v>
      </c>
      <c r="D83" s="11"/>
      <c r="H83" s="12"/>
      <c r="I83" s="11"/>
      <c r="K83" s="12"/>
      <c r="L83" s="12"/>
      <c r="M83" s="12"/>
      <c r="U83" s="12"/>
      <c r="V83" s="12"/>
      <c r="W83" s="12"/>
      <c r="X83" s="12"/>
      <c r="Y83" s="12"/>
      <c r="Z83" s="12"/>
      <c r="AA83" s="12"/>
    </row>
    <row r="84" spans="1:27" ht="12.75" x14ac:dyDescent="0.2">
      <c r="A84" s="8" t="s">
        <v>32</v>
      </c>
      <c r="B84" s="9">
        <v>58.708414869999999</v>
      </c>
      <c r="C84" s="9">
        <v>4</v>
      </c>
      <c r="D84" s="11"/>
      <c r="H84" s="12"/>
      <c r="I84" s="11"/>
      <c r="K84" s="12"/>
      <c r="L84" s="12"/>
      <c r="M84" s="12"/>
      <c r="U84" s="12"/>
      <c r="V84" s="12"/>
      <c r="W84" s="12"/>
      <c r="X84" s="12"/>
      <c r="Y84" s="12"/>
      <c r="Z84" s="12"/>
      <c r="AA84" s="12"/>
    </row>
    <row r="85" spans="1:27" ht="12.75" x14ac:dyDescent="0.2">
      <c r="A85" s="8" t="s">
        <v>32</v>
      </c>
      <c r="B85" s="9">
        <v>52.56570713</v>
      </c>
      <c r="C85" s="9">
        <v>0</v>
      </c>
      <c r="D85" s="11"/>
      <c r="H85" s="12"/>
      <c r="I85" s="11"/>
      <c r="K85" s="12"/>
      <c r="L85" s="12"/>
      <c r="M85" s="12"/>
      <c r="U85" s="12"/>
      <c r="V85" s="12"/>
      <c r="W85" s="12"/>
      <c r="X85" s="12"/>
      <c r="Y85" s="12"/>
      <c r="Z85" s="12"/>
      <c r="AA85" s="12"/>
    </row>
    <row r="86" spans="1:27" ht="12.75" x14ac:dyDescent="0.2">
      <c r="A86" s="8" t="s">
        <v>32</v>
      </c>
      <c r="B86" s="9">
        <v>44.382801659999998</v>
      </c>
      <c r="C86" s="9">
        <v>0</v>
      </c>
      <c r="D86" s="11"/>
      <c r="H86" s="12"/>
      <c r="I86" s="11"/>
      <c r="K86" s="12"/>
      <c r="L86" s="12"/>
      <c r="M86" s="12"/>
      <c r="U86" s="12"/>
      <c r="V86" s="12"/>
      <c r="W86" s="12"/>
      <c r="X86" s="12"/>
      <c r="Y86" s="12"/>
      <c r="Z86" s="12"/>
      <c r="AA86" s="12"/>
    </row>
    <row r="87" spans="1:27" ht="12.75" x14ac:dyDescent="0.2">
      <c r="A87" s="8" t="s">
        <v>32</v>
      </c>
      <c r="B87" s="9">
        <v>46.260601389999998</v>
      </c>
      <c r="C87" s="9">
        <v>0</v>
      </c>
      <c r="D87" s="11"/>
      <c r="H87" s="12"/>
      <c r="I87" s="11"/>
      <c r="K87" s="12"/>
      <c r="L87" s="12"/>
      <c r="M87" s="12"/>
      <c r="U87" s="12"/>
      <c r="V87" s="12"/>
      <c r="W87" s="12"/>
      <c r="X87" s="12"/>
      <c r="Y87" s="12"/>
      <c r="Z87" s="12"/>
      <c r="AA87" s="12"/>
    </row>
    <row r="88" spans="1:27" ht="12.75" x14ac:dyDescent="0.2">
      <c r="A88" s="8" t="s">
        <v>32</v>
      </c>
      <c r="B88" s="9">
        <v>54.945054949999999</v>
      </c>
      <c r="C88" s="9">
        <v>0</v>
      </c>
      <c r="D88" s="11"/>
      <c r="H88" s="12"/>
      <c r="I88" s="11"/>
      <c r="K88" s="12"/>
      <c r="L88" s="12"/>
      <c r="M88" s="12"/>
      <c r="U88" s="12"/>
      <c r="V88" s="12"/>
      <c r="W88" s="12"/>
      <c r="X88" s="12"/>
      <c r="Y88" s="12"/>
      <c r="Z88" s="12"/>
      <c r="AA88" s="12"/>
    </row>
    <row r="89" spans="1:27" ht="12.75" x14ac:dyDescent="0.2">
      <c r="A89" s="8" t="s">
        <v>32</v>
      </c>
      <c r="B89" s="9">
        <v>57.239057240000001</v>
      </c>
      <c r="C89" s="9">
        <v>0</v>
      </c>
      <c r="D89" s="11"/>
      <c r="H89" s="12"/>
      <c r="I89" s="11"/>
      <c r="K89" s="12"/>
      <c r="L89" s="12"/>
      <c r="M89" s="12"/>
      <c r="U89" s="12"/>
      <c r="V89" s="12"/>
      <c r="W89" s="12"/>
      <c r="X89" s="12"/>
      <c r="Y89" s="12"/>
      <c r="Z89" s="12"/>
      <c r="AA89" s="12"/>
    </row>
    <row r="90" spans="1:27" ht="12.75" x14ac:dyDescent="0.2">
      <c r="A90" s="8" t="s">
        <v>32</v>
      </c>
      <c r="B90" s="9">
        <v>51.359516620000001</v>
      </c>
      <c r="C90" s="9">
        <v>0</v>
      </c>
      <c r="D90" s="11"/>
      <c r="H90" s="12"/>
      <c r="I90" s="11"/>
      <c r="K90" s="12"/>
      <c r="L90" s="12"/>
      <c r="M90" s="12"/>
      <c r="U90" s="12"/>
      <c r="V90" s="12"/>
      <c r="W90" s="12"/>
      <c r="X90" s="12"/>
      <c r="Y90" s="12"/>
      <c r="Z90" s="12"/>
      <c r="AA90" s="12"/>
    </row>
    <row r="91" spans="1:27" ht="12.75" x14ac:dyDescent="0.2">
      <c r="A91" s="8" t="s">
        <v>32</v>
      </c>
      <c r="B91" s="9">
        <v>56.695992179999998</v>
      </c>
      <c r="C91" s="9">
        <v>0</v>
      </c>
      <c r="D91" s="11"/>
      <c r="H91" s="12"/>
      <c r="I91" s="11"/>
      <c r="K91" s="12"/>
      <c r="L91" s="12"/>
      <c r="M91" s="12"/>
      <c r="U91" s="12"/>
      <c r="V91" s="12"/>
      <c r="W91" s="12"/>
      <c r="X91" s="12"/>
      <c r="Y91" s="12"/>
      <c r="Z91" s="12"/>
      <c r="AA91" s="12"/>
    </row>
    <row r="92" spans="1:27" ht="12.75" x14ac:dyDescent="0.2">
      <c r="A92" s="8" t="s">
        <v>32</v>
      </c>
      <c r="B92" s="9">
        <v>58.189655170000002</v>
      </c>
      <c r="C92" s="9">
        <v>0</v>
      </c>
      <c r="D92" s="11"/>
      <c r="H92" s="12"/>
      <c r="I92" s="11"/>
      <c r="K92" s="12"/>
      <c r="L92" s="12"/>
      <c r="M92" s="12"/>
      <c r="U92" s="12"/>
      <c r="V92" s="12"/>
      <c r="W92" s="12"/>
      <c r="X92" s="12"/>
      <c r="Y92" s="12"/>
      <c r="Z92" s="12"/>
      <c r="AA92" s="12"/>
    </row>
    <row r="93" spans="1:27" ht="12.75" x14ac:dyDescent="0.2">
      <c r="A93" s="8" t="s">
        <v>32</v>
      </c>
      <c r="B93" s="9">
        <v>58.769513310000001</v>
      </c>
      <c r="C93" s="9">
        <v>9</v>
      </c>
      <c r="D93" s="11"/>
      <c r="H93" s="12"/>
      <c r="I93" s="11"/>
      <c r="K93" s="12"/>
      <c r="L93" s="12"/>
      <c r="M93" s="12"/>
      <c r="U93" s="12"/>
      <c r="V93" s="12"/>
      <c r="W93" s="12"/>
      <c r="X93" s="12"/>
      <c r="Y93" s="12"/>
      <c r="Z93" s="12"/>
      <c r="AA93" s="12"/>
    </row>
    <row r="94" spans="1:27" ht="12.75" x14ac:dyDescent="0.2">
      <c r="A94" s="8" t="s">
        <v>32</v>
      </c>
      <c r="B94" s="9">
        <v>50.083472450000002</v>
      </c>
      <c r="C94" s="9">
        <v>0</v>
      </c>
      <c r="D94" s="11"/>
      <c r="H94" s="12"/>
      <c r="I94" s="11"/>
      <c r="K94" s="12"/>
      <c r="L94" s="12"/>
      <c r="M94" s="12"/>
      <c r="U94" s="12"/>
      <c r="V94" s="12"/>
      <c r="W94" s="12"/>
      <c r="X94" s="12"/>
      <c r="Y94" s="12"/>
      <c r="Z94" s="12"/>
      <c r="AA94" s="12"/>
    </row>
    <row r="95" spans="1:27" ht="12.75" x14ac:dyDescent="0.2">
      <c r="A95" s="8" t="s">
        <v>32</v>
      </c>
      <c r="B95" s="9">
        <v>49.382716049999999</v>
      </c>
      <c r="C95" s="9">
        <v>0</v>
      </c>
      <c r="D95" s="11"/>
      <c r="H95" s="12"/>
      <c r="I95" s="11"/>
      <c r="K95" s="12"/>
      <c r="L95" s="12"/>
      <c r="M95" s="12"/>
      <c r="U95" s="12"/>
      <c r="V95" s="12"/>
      <c r="W95" s="12"/>
      <c r="X95" s="12"/>
      <c r="Y95" s="12"/>
      <c r="Z95" s="12"/>
      <c r="AA95" s="12"/>
    </row>
    <row r="96" spans="1:27" ht="12.75" x14ac:dyDescent="0.2">
      <c r="A96" s="8" t="s">
        <v>32</v>
      </c>
      <c r="B96" s="9">
        <v>57.18954248</v>
      </c>
      <c r="C96" s="9">
        <v>0</v>
      </c>
      <c r="D96" s="11"/>
      <c r="H96" s="12"/>
      <c r="I96" s="11"/>
      <c r="K96" s="12"/>
      <c r="L96" s="12"/>
      <c r="M96" s="12"/>
      <c r="U96" s="12"/>
      <c r="V96" s="12"/>
      <c r="W96" s="12"/>
      <c r="X96" s="12"/>
      <c r="Y96" s="12"/>
      <c r="Z96" s="12"/>
      <c r="AA96" s="12"/>
    </row>
    <row r="97" spans="1:27" ht="12.75" x14ac:dyDescent="0.2">
      <c r="A97" s="8" t="s">
        <v>32</v>
      </c>
      <c r="B97" s="9">
        <v>36.339165549999997</v>
      </c>
      <c r="C97" s="9">
        <v>0</v>
      </c>
      <c r="D97" s="11"/>
      <c r="H97" s="12"/>
      <c r="I97" s="11"/>
      <c r="K97" s="12"/>
      <c r="L97" s="12"/>
      <c r="M97" s="12"/>
      <c r="U97" s="12"/>
      <c r="V97" s="12"/>
      <c r="W97" s="12"/>
      <c r="X97" s="12"/>
      <c r="Y97" s="12"/>
      <c r="Z97" s="12"/>
      <c r="AA97" s="12"/>
    </row>
    <row r="98" spans="1:27" ht="12.75" x14ac:dyDescent="0.2">
      <c r="A98" s="8" t="s">
        <v>32</v>
      </c>
      <c r="B98" s="9">
        <v>63.814358230000003</v>
      </c>
      <c r="C98" s="9">
        <v>3</v>
      </c>
      <c r="D98" s="11"/>
      <c r="H98" s="12"/>
      <c r="I98" s="11"/>
      <c r="K98" s="12"/>
      <c r="L98" s="12"/>
      <c r="M98" s="12"/>
      <c r="U98" s="12"/>
      <c r="V98" s="12"/>
      <c r="W98" s="12"/>
      <c r="X98" s="12"/>
      <c r="Y98" s="12"/>
      <c r="Z98" s="12"/>
      <c r="AA98" s="12"/>
    </row>
    <row r="99" spans="1:27" ht="12.75" x14ac:dyDescent="0.2">
      <c r="A99" s="8" t="s">
        <v>32</v>
      </c>
      <c r="B99" s="9">
        <v>42.41948154</v>
      </c>
      <c r="C99" s="9">
        <v>0</v>
      </c>
      <c r="D99" s="11"/>
      <c r="H99" s="12"/>
      <c r="I99" s="11"/>
      <c r="K99" s="12"/>
      <c r="L99" s="12"/>
      <c r="M99" s="12"/>
      <c r="U99" s="12"/>
      <c r="V99" s="12"/>
      <c r="W99" s="12"/>
      <c r="X99" s="12"/>
      <c r="Y99" s="12"/>
      <c r="Z99" s="12"/>
      <c r="AA99" s="12"/>
    </row>
    <row r="100" spans="1:27" ht="12.75" x14ac:dyDescent="0.2">
      <c r="A100" s="8" t="s">
        <v>32</v>
      </c>
      <c r="B100" s="9">
        <v>65.420560750000007</v>
      </c>
      <c r="C100" s="9">
        <v>1</v>
      </c>
      <c r="D100" s="11"/>
      <c r="H100" s="12"/>
      <c r="I100" s="11"/>
      <c r="K100" s="12"/>
      <c r="L100" s="12"/>
      <c r="M100" s="12"/>
      <c r="U100" s="12"/>
      <c r="V100" s="12"/>
      <c r="W100" s="12"/>
      <c r="X100" s="12"/>
      <c r="Y100" s="12"/>
      <c r="Z100" s="12"/>
      <c r="AA100" s="12"/>
    </row>
    <row r="101" spans="1:27" ht="12.75" x14ac:dyDescent="0.2">
      <c r="A101" s="8" t="s">
        <v>32</v>
      </c>
      <c r="B101" s="9">
        <v>53.264604810000002</v>
      </c>
      <c r="C101" s="9">
        <v>0</v>
      </c>
      <c r="D101" s="11"/>
      <c r="H101" s="12"/>
      <c r="I101" s="11"/>
      <c r="K101" s="12"/>
      <c r="L101" s="12"/>
      <c r="M101" s="12"/>
      <c r="U101" s="12"/>
      <c r="V101" s="12"/>
      <c r="W101" s="12"/>
      <c r="X101" s="12"/>
      <c r="Y101" s="12"/>
      <c r="Z101" s="12"/>
      <c r="AA101" s="12"/>
    </row>
    <row r="102" spans="1:27" ht="12.75" x14ac:dyDescent="0.2">
      <c r="A102" s="8" t="s">
        <v>32</v>
      </c>
      <c r="B102" s="9">
        <v>42.490842489999999</v>
      </c>
      <c r="C102" s="9">
        <v>0</v>
      </c>
      <c r="D102" s="11"/>
      <c r="H102" s="12"/>
      <c r="I102" s="11"/>
      <c r="K102" s="12"/>
      <c r="L102" s="12"/>
      <c r="M102" s="12"/>
      <c r="U102" s="12"/>
      <c r="V102" s="12"/>
      <c r="W102" s="12"/>
      <c r="X102" s="12"/>
      <c r="Y102" s="12"/>
      <c r="Z102" s="12"/>
      <c r="AA102" s="12"/>
    </row>
    <row r="103" spans="1:27" ht="12.75" x14ac:dyDescent="0.2">
      <c r="A103" s="8" t="s">
        <v>32</v>
      </c>
      <c r="B103" s="9">
        <v>45.454545449999998</v>
      </c>
      <c r="C103" s="9">
        <v>0</v>
      </c>
      <c r="D103" s="11"/>
      <c r="H103" s="12"/>
      <c r="I103" s="11"/>
      <c r="K103" s="12"/>
      <c r="L103" s="12"/>
      <c r="M103" s="12"/>
      <c r="U103" s="12"/>
      <c r="V103" s="12"/>
      <c r="W103" s="12"/>
      <c r="X103" s="12"/>
      <c r="Y103" s="12"/>
      <c r="Z103" s="12"/>
      <c r="AA103" s="12"/>
    </row>
    <row r="104" spans="1:27" ht="12.75" x14ac:dyDescent="0.2">
      <c r="A104" s="8" t="s">
        <v>32</v>
      </c>
      <c r="B104" s="9">
        <v>67.632850239999996</v>
      </c>
      <c r="C104" s="9">
        <v>4</v>
      </c>
      <c r="D104" s="11"/>
      <c r="H104" s="12"/>
      <c r="I104" s="11"/>
      <c r="K104" s="12"/>
      <c r="L104" s="12"/>
      <c r="M104" s="12"/>
      <c r="U104" s="12"/>
      <c r="V104" s="12"/>
      <c r="W104" s="12"/>
      <c r="X104" s="12"/>
      <c r="Y104" s="12"/>
      <c r="Z104" s="12"/>
      <c r="AA104" s="12"/>
    </row>
    <row r="105" spans="1:27" ht="12.75" x14ac:dyDescent="0.2">
      <c r="A105" s="8" t="s">
        <v>32</v>
      </c>
      <c r="B105" s="9">
        <v>56.962025320000002</v>
      </c>
      <c r="C105" s="9">
        <v>1</v>
      </c>
      <c r="D105" s="11"/>
      <c r="H105" s="12"/>
      <c r="I105" s="11"/>
      <c r="K105" s="12"/>
      <c r="L105" s="12"/>
      <c r="M105" s="12"/>
      <c r="U105" s="12"/>
      <c r="V105" s="12"/>
      <c r="W105" s="12"/>
      <c r="X105" s="12"/>
      <c r="Y105" s="12"/>
      <c r="Z105" s="12"/>
      <c r="AA105" s="12"/>
    </row>
    <row r="106" spans="1:27" ht="12.75" x14ac:dyDescent="0.2">
      <c r="A106" s="8" t="s">
        <v>32</v>
      </c>
      <c r="B106" s="9">
        <v>49.34464148</v>
      </c>
      <c r="C106" s="9">
        <v>0</v>
      </c>
      <c r="D106" s="11"/>
      <c r="H106" s="12"/>
      <c r="I106" s="11"/>
      <c r="K106" s="12"/>
      <c r="L106" s="12"/>
      <c r="M106" s="12"/>
      <c r="U106" s="12"/>
      <c r="V106" s="12"/>
      <c r="W106" s="12"/>
      <c r="X106" s="12"/>
      <c r="Y106" s="12"/>
      <c r="Z106" s="12"/>
      <c r="AA106" s="12"/>
    </row>
    <row r="107" spans="1:27" ht="12.75" x14ac:dyDescent="0.2">
      <c r="A107" s="8" t="s">
        <v>32</v>
      </c>
      <c r="B107" s="9">
        <v>45.454545449999998</v>
      </c>
      <c r="C107" s="9">
        <v>0</v>
      </c>
      <c r="D107" s="11"/>
      <c r="H107" s="12"/>
      <c r="I107" s="11"/>
      <c r="K107" s="12"/>
      <c r="L107" s="12"/>
      <c r="M107" s="12"/>
      <c r="U107" s="12"/>
      <c r="V107" s="12"/>
      <c r="W107" s="12"/>
      <c r="X107" s="12"/>
      <c r="Y107" s="12"/>
      <c r="Z107" s="12"/>
      <c r="AA107" s="12"/>
    </row>
    <row r="108" spans="1:27" ht="12.75" x14ac:dyDescent="0.2">
      <c r="A108" s="8" t="s">
        <v>32</v>
      </c>
      <c r="B108" s="9">
        <v>46.890927619999999</v>
      </c>
      <c r="C108" s="9">
        <v>0</v>
      </c>
      <c r="D108" s="11"/>
      <c r="H108" s="12"/>
      <c r="I108" s="11"/>
      <c r="K108" s="12"/>
      <c r="L108" s="12"/>
      <c r="M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2.75" x14ac:dyDescent="0.2">
      <c r="A109" s="8" t="s">
        <v>32</v>
      </c>
      <c r="B109" s="9">
        <v>61.208875290000002</v>
      </c>
      <c r="C109" s="9">
        <v>8</v>
      </c>
      <c r="D109" s="11"/>
      <c r="H109" s="12"/>
      <c r="I109" s="11"/>
      <c r="K109" s="12"/>
      <c r="L109" s="12"/>
      <c r="M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2.75" x14ac:dyDescent="0.2">
      <c r="A110" s="13"/>
      <c r="B110" s="13"/>
      <c r="C110" s="13"/>
      <c r="D110" s="11"/>
      <c r="H110" s="12"/>
      <c r="I110" s="11"/>
      <c r="K110" s="12"/>
      <c r="L110" s="12"/>
      <c r="M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2.75" x14ac:dyDescent="0.2">
      <c r="A111" s="13"/>
      <c r="B111" s="13"/>
      <c r="C111" s="13"/>
      <c r="D111" s="11"/>
      <c r="H111" s="12"/>
      <c r="I111" s="11"/>
      <c r="K111" s="12"/>
      <c r="L111" s="12"/>
      <c r="M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2.75" x14ac:dyDescent="0.2">
      <c r="A112" s="13"/>
      <c r="B112" s="13"/>
      <c r="C112" s="13"/>
      <c r="D112" s="11"/>
      <c r="H112" s="12"/>
      <c r="I112" s="11"/>
      <c r="K112" s="12"/>
      <c r="L112" s="12"/>
      <c r="M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2.75" x14ac:dyDescent="0.2">
      <c r="A113" s="13"/>
      <c r="B113" s="13"/>
      <c r="C113" s="13"/>
      <c r="D113" s="11"/>
      <c r="H113" s="12"/>
      <c r="I113" s="11"/>
      <c r="K113" s="12"/>
      <c r="L113" s="12"/>
      <c r="M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2.75" x14ac:dyDescent="0.2">
      <c r="A114" s="13"/>
      <c r="B114" s="13"/>
      <c r="C114" s="13"/>
      <c r="D114" s="11"/>
      <c r="H114" s="12"/>
      <c r="I114" s="11"/>
      <c r="K114" s="12"/>
      <c r="L114" s="12"/>
      <c r="M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2.75" x14ac:dyDescent="0.2">
      <c r="A115" s="13"/>
      <c r="B115" s="13"/>
      <c r="C115" s="13"/>
      <c r="D115" s="11"/>
      <c r="H115" s="12"/>
      <c r="I115" s="11"/>
      <c r="K115" s="12"/>
      <c r="L115" s="12"/>
      <c r="M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2.75" x14ac:dyDescent="0.2">
      <c r="A116" s="13"/>
      <c r="B116" s="13"/>
      <c r="C116" s="13"/>
      <c r="D116" s="11"/>
      <c r="H116" s="12"/>
      <c r="I116" s="11"/>
      <c r="K116" s="12"/>
      <c r="L116" s="12"/>
      <c r="M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2.75" x14ac:dyDescent="0.2">
      <c r="A117" s="13"/>
      <c r="B117" s="13"/>
      <c r="C117" s="13"/>
      <c r="D117" s="11"/>
      <c r="H117" s="12"/>
      <c r="I117" s="11"/>
      <c r="K117" s="12"/>
      <c r="L117" s="12"/>
      <c r="M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2.75" x14ac:dyDescent="0.2">
      <c r="A118" s="13"/>
      <c r="B118" s="13"/>
      <c r="C118" s="13"/>
      <c r="D118" s="11"/>
      <c r="H118" s="12"/>
      <c r="I118" s="11"/>
      <c r="K118" s="12"/>
      <c r="L118" s="12"/>
      <c r="M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2.75" x14ac:dyDescent="0.2">
      <c r="A119" s="13"/>
      <c r="B119" s="13"/>
      <c r="C119" s="13"/>
      <c r="D119" s="11"/>
      <c r="H119" s="12"/>
      <c r="I119" s="11"/>
      <c r="K119" s="12"/>
      <c r="L119" s="12"/>
      <c r="M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2.75" x14ac:dyDescent="0.2">
      <c r="A120" s="13"/>
      <c r="B120" s="13"/>
      <c r="C120" s="13"/>
      <c r="D120" s="11"/>
      <c r="H120" s="12"/>
      <c r="I120" s="11"/>
      <c r="K120" s="12"/>
      <c r="L120" s="12"/>
      <c r="M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2.75" x14ac:dyDescent="0.2">
      <c r="A121" s="13"/>
      <c r="B121" s="13"/>
      <c r="C121" s="13"/>
      <c r="D121" s="11"/>
      <c r="H121" s="12"/>
      <c r="I121" s="11"/>
      <c r="K121" s="12"/>
      <c r="L121" s="12"/>
      <c r="M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2.75" x14ac:dyDescent="0.2">
      <c r="A122" s="13"/>
      <c r="B122" s="13"/>
      <c r="C122" s="13"/>
      <c r="D122" s="11"/>
      <c r="H122" s="12"/>
      <c r="I122" s="11"/>
      <c r="K122" s="12"/>
      <c r="L122" s="12"/>
      <c r="M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2.75" x14ac:dyDescent="0.2">
      <c r="A123" s="13"/>
      <c r="B123" s="13"/>
      <c r="C123" s="13"/>
      <c r="D123" s="11"/>
      <c r="H123" s="12"/>
      <c r="I123" s="11"/>
      <c r="K123" s="12"/>
      <c r="L123" s="12"/>
      <c r="M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2.75" x14ac:dyDescent="0.2">
      <c r="A124" s="13"/>
      <c r="B124" s="13"/>
      <c r="C124" s="13"/>
      <c r="D124" s="11"/>
      <c r="H124" s="12"/>
      <c r="I124" s="11"/>
      <c r="K124" s="12"/>
      <c r="L124" s="12"/>
      <c r="M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2.75" x14ac:dyDescent="0.2">
      <c r="A125" s="13"/>
      <c r="B125" s="13"/>
      <c r="C125" s="13"/>
      <c r="D125" s="11"/>
      <c r="H125" s="12"/>
      <c r="I125" s="11"/>
      <c r="K125" s="12"/>
      <c r="L125" s="12"/>
      <c r="M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2.75" x14ac:dyDescent="0.2">
      <c r="A126" s="13"/>
      <c r="B126" s="13"/>
      <c r="C126" s="13"/>
      <c r="D126" s="11"/>
      <c r="H126" s="12"/>
      <c r="I126" s="11"/>
      <c r="K126" s="12"/>
      <c r="L126" s="12"/>
      <c r="M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2.75" x14ac:dyDescent="0.2">
      <c r="A127" s="13"/>
      <c r="B127" s="13"/>
      <c r="C127" s="13"/>
      <c r="D127" s="11"/>
      <c r="H127" s="12"/>
      <c r="I127" s="11"/>
      <c r="K127" s="12"/>
      <c r="L127" s="12"/>
      <c r="M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2.75" x14ac:dyDescent="0.2">
      <c r="A128" s="13"/>
      <c r="B128" s="13"/>
      <c r="C128" s="13"/>
      <c r="D128" s="11"/>
      <c r="H128" s="12"/>
      <c r="I128" s="11"/>
      <c r="K128" s="12"/>
      <c r="L128" s="12"/>
      <c r="M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2.75" x14ac:dyDescent="0.2">
      <c r="A129" s="13"/>
      <c r="B129" s="13"/>
      <c r="C129" s="13"/>
      <c r="D129" s="11"/>
      <c r="H129" s="12"/>
      <c r="I129" s="11"/>
      <c r="K129" s="12"/>
      <c r="L129" s="12"/>
      <c r="M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2.75" x14ac:dyDescent="0.2">
      <c r="A130" s="13"/>
      <c r="B130" s="13"/>
      <c r="C130" s="13"/>
      <c r="D130" s="11"/>
      <c r="H130" s="12"/>
      <c r="I130" s="11"/>
      <c r="K130" s="12"/>
      <c r="L130" s="12"/>
      <c r="M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2.75" x14ac:dyDescent="0.2">
      <c r="A131" s="13"/>
      <c r="B131" s="13"/>
      <c r="C131" s="13"/>
      <c r="D131" s="11"/>
      <c r="H131" s="12"/>
      <c r="I131" s="11"/>
      <c r="K131" s="12"/>
      <c r="L131" s="12"/>
      <c r="M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2.75" x14ac:dyDescent="0.2">
      <c r="A132" s="13"/>
      <c r="B132" s="13"/>
      <c r="C132" s="13"/>
      <c r="D132" s="11"/>
      <c r="H132" s="12"/>
      <c r="I132" s="11"/>
      <c r="K132" s="12"/>
      <c r="L132" s="12"/>
      <c r="M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2.75" x14ac:dyDescent="0.2">
      <c r="A133" s="13"/>
      <c r="B133" s="13"/>
      <c r="C133" s="13"/>
      <c r="D133" s="11"/>
      <c r="H133" s="12"/>
      <c r="I133" s="11"/>
      <c r="K133" s="12"/>
      <c r="L133" s="12"/>
      <c r="M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2.75" x14ac:dyDescent="0.2">
      <c r="A134" s="13"/>
      <c r="B134" s="13"/>
      <c r="C134" s="13"/>
      <c r="D134" s="11"/>
      <c r="H134" s="12"/>
      <c r="I134" s="11"/>
      <c r="K134" s="12"/>
      <c r="L134" s="12"/>
      <c r="M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2.75" x14ac:dyDescent="0.2">
      <c r="A135" s="13"/>
      <c r="B135" s="13"/>
      <c r="C135" s="13"/>
      <c r="D135" s="11"/>
      <c r="H135" s="12"/>
      <c r="I135" s="11"/>
      <c r="K135" s="12"/>
      <c r="L135" s="12"/>
      <c r="M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2.75" x14ac:dyDescent="0.2">
      <c r="A136" s="13"/>
      <c r="B136" s="13"/>
      <c r="C136" s="13"/>
      <c r="D136" s="11"/>
      <c r="H136" s="12"/>
      <c r="I136" s="11"/>
      <c r="K136" s="12"/>
      <c r="L136" s="12"/>
      <c r="M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2.75" x14ac:dyDescent="0.2">
      <c r="A137" s="13"/>
      <c r="B137" s="13"/>
      <c r="C137" s="13"/>
      <c r="D137" s="11"/>
      <c r="H137" s="12"/>
      <c r="I137" s="11"/>
      <c r="K137" s="12"/>
      <c r="L137" s="12"/>
      <c r="M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2.75" x14ac:dyDescent="0.2">
      <c r="A138" s="13"/>
      <c r="B138" s="13"/>
      <c r="C138" s="13"/>
      <c r="D138" s="11"/>
      <c r="H138" s="12"/>
      <c r="I138" s="11"/>
      <c r="K138" s="12"/>
      <c r="L138" s="12"/>
      <c r="M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2.75" x14ac:dyDescent="0.2">
      <c r="A139" s="13"/>
      <c r="B139" s="13"/>
      <c r="C139" s="13"/>
      <c r="D139" s="11"/>
      <c r="H139" s="12"/>
      <c r="I139" s="11"/>
      <c r="K139" s="12"/>
      <c r="L139" s="12"/>
      <c r="M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2.75" x14ac:dyDescent="0.2">
      <c r="A140" s="13"/>
      <c r="B140" s="13"/>
      <c r="C140" s="13"/>
      <c r="D140" s="11"/>
      <c r="H140" s="12"/>
      <c r="I140" s="11"/>
      <c r="K140" s="12"/>
      <c r="L140" s="12"/>
      <c r="M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2.75" x14ac:dyDescent="0.2">
      <c r="A141" s="13"/>
      <c r="B141" s="13"/>
      <c r="C141" s="13"/>
      <c r="D141" s="11"/>
      <c r="H141" s="12"/>
      <c r="I141" s="11"/>
      <c r="K141" s="12"/>
      <c r="L141" s="12"/>
      <c r="M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2.75" x14ac:dyDescent="0.2">
      <c r="A142" s="13"/>
      <c r="B142" s="13"/>
      <c r="C142" s="13"/>
      <c r="D142" s="11"/>
      <c r="H142" s="12"/>
      <c r="I142" s="11"/>
      <c r="K142" s="12"/>
      <c r="L142" s="12"/>
      <c r="M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2.75" x14ac:dyDescent="0.2">
      <c r="A143" s="13"/>
      <c r="B143" s="13"/>
      <c r="C143" s="13"/>
      <c r="D143" s="11"/>
      <c r="H143" s="12"/>
      <c r="I143" s="11"/>
      <c r="K143" s="12"/>
      <c r="L143" s="12"/>
      <c r="M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2.75" x14ac:dyDescent="0.2">
      <c r="A144" s="13"/>
      <c r="B144" s="13"/>
      <c r="C144" s="13"/>
      <c r="D144" s="11"/>
      <c r="H144" s="12"/>
      <c r="I144" s="11"/>
      <c r="K144" s="12"/>
      <c r="L144" s="12"/>
      <c r="M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2.75" x14ac:dyDescent="0.2">
      <c r="A145" s="13"/>
      <c r="B145" s="13"/>
      <c r="C145" s="13"/>
      <c r="D145" s="11"/>
      <c r="H145" s="12"/>
      <c r="I145" s="11"/>
      <c r="K145" s="12"/>
      <c r="L145" s="12"/>
      <c r="M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2.75" x14ac:dyDescent="0.2">
      <c r="A146" s="13"/>
      <c r="B146" s="13"/>
      <c r="C146" s="13"/>
      <c r="D146" s="11"/>
      <c r="H146" s="12"/>
      <c r="I146" s="11"/>
      <c r="K146" s="12"/>
      <c r="L146" s="12"/>
      <c r="M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2.75" x14ac:dyDescent="0.2">
      <c r="A147" s="13"/>
      <c r="B147" s="13"/>
      <c r="C147" s="13"/>
      <c r="D147" s="11"/>
      <c r="H147" s="12"/>
      <c r="I147" s="11"/>
      <c r="K147" s="12"/>
      <c r="L147" s="12"/>
      <c r="M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2.75" x14ac:dyDescent="0.2">
      <c r="A148" s="13"/>
      <c r="B148" s="13"/>
      <c r="C148" s="13"/>
      <c r="D148" s="11"/>
      <c r="H148" s="12"/>
      <c r="I148" s="11"/>
      <c r="K148" s="12"/>
      <c r="L148" s="12"/>
      <c r="M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2.75" x14ac:dyDescent="0.2">
      <c r="A149" s="13"/>
      <c r="B149" s="13"/>
      <c r="C149" s="13"/>
      <c r="D149" s="11"/>
      <c r="H149" s="12"/>
      <c r="I149" s="11"/>
      <c r="K149" s="12"/>
      <c r="L149" s="12"/>
      <c r="M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2.75" x14ac:dyDescent="0.2">
      <c r="A150" s="13"/>
      <c r="B150" s="13"/>
      <c r="C150" s="13"/>
      <c r="D150" s="11"/>
      <c r="H150" s="12"/>
      <c r="I150" s="11"/>
      <c r="K150" s="12"/>
      <c r="L150" s="12"/>
      <c r="M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2.75" x14ac:dyDescent="0.2">
      <c r="A151" s="13"/>
      <c r="B151" s="13"/>
      <c r="C151" s="13"/>
      <c r="D151" s="11"/>
      <c r="H151" s="12"/>
      <c r="I151" s="11"/>
      <c r="K151" s="12"/>
      <c r="L151" s="12"/>
      <c r="M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2.75" x14ac:dyDescent="0.2">
      <c r="A152" s="13"/>
      <c r="B152" s="13"/>
      <c r="C152" s="13"/>
      <c r="D152" s="11"/>
      <c r="H152" s="12"/>
      <c r="I152" s="11"/>
      <c r="K152" s="12"/>
      <c r="L152" s="12"/>
      <c r="M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2.75" x14ac:dyDescent="0.2">
      <c r="A153" s="13"/>
      <c r="B153" s="13"/>
      <c r="C153" s="13"/>
      <c r="D153" s="11"/>
      <c r="H153" s="12"/>
      <c r="I153" s="11"/>
      <c r="K153" s="12"/>
      <c r="L153" s="12"/>
      <c r="M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2.75" x14ac:dyDescent="0.2">
      <c r="A154" s="13"/>
      <c r="B154" s="13"/>
      <c r="C154" s="13"/>
      <c r="D154" s="11"/>
      <c r="H154" s="12"/>
      <c r="I154" s="11"/>
      <c r="K154" s="12"/>
      <c r="L154" s="12"/>
      <c r="M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2.75" x14ac:dyDescent="0.2">
      <c r="A155" s="13"/>
      <c r="B155" s="13"/>
      <c r="C155" s="13"/>
      <c r="D155" s="11"/>
      <c r="H155" s="12"/>
      <c r="I155" s="11"/>
      <c r="K155" s="12"/>
      <c r="L155" s="12"/>
      <c r="M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2.75" x14ac:dyDescent="0.2">
      <c r="A156" s="13"/>
      <c r="B156" s="13"/>
      <c r="C156" s="13"/>
      <c r="D156" s="11"/>
      <c r="H156" s="12"/>
      <c r="I156" s="11"/>
      <c r="K156" s="12"/>
      <c r="L156" s="12"/>
      <c r="M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2.75" x14ac:dyDescent="0.2">
      <c r="A157" s="13"/>
      <c r="B157" s="13"/>
      <c r="C157" s="13"/>
      <c r="D157" s="11"/>
      <c r="H157" s="12"/>
      <c r="I157" s="11"/>
      <c r="K157" s="12"/>
      <c r="L157" s="12"/>
      <c r="M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2.75" x14ac:dyDescent="0.2">
      <c r="A158" s="13"/>
      <c r="B158" s="13"/>
      <c r="C158" s="13"/>
      <c r="D158" s="11"/>
      <c r="H158" s="12"/>
      <c r="I158" s="11"/>
      <c r="K158" s="12"/>
      <c r="L158" s="12"/>
      <c r="M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2.75" x14ac:dyDescent="0.2">
      <c r="A159" s="13"/>
      <c r="B159" s="13"/>
      <c r="C159" s="13"/>
      <c r="D159" s="11"/>
      <c r="H159" s="12"/>
      <c r="I159" s="11"/>
      <c r="K159" s="12"/>
      <c r="L159" s="12"/>
      <c r="M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2.75" x14ac:dyDescent="0.2">
      <c r="A160" s="13"/>
      <c r="B160" s="13"/>
      <c r="C160" s="13"/>
      <c r="D160" s="11"/>
      <c r="H160" s="12"/>
      <c r="I160" s="11"/>
      <c r="K160" s="12"/>
      <c r="L160" s="12"/>
      <c r="M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2.75" x14ac:dyDescent="0.2">
      <c r="A161" s="13"/>
      <c r="B161" s="13"/>
      <c r="C161" s="13"/>
      <c r="D161" s="11"/>
      <c r="H161" s="12"/>
      <c r="I161" s="11"/>
      <c r="K161" s="12"/>
      <c r="L161" s="12"/>
      <c r="M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2.75" x14ac:dyDescent="0.2">
      <c r="A162" s="13"/>
      <c r="B162" s="13"/>
      <c r="C162" s="13"/>
      <c r="D162" s="11"/>
      <c r="H162" s="12"/>
      <c r="I162" s="11"/>
      <c r="K162" s="12"/>
      <c r="L162" s="12"/>
      <c r="M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2.75" x14ac:dyDescent="0.2">
      <c r="A163" s="13"/>
      <c r="B163" s="13"/>
      <c r="C163" s="13"/>
      <c r="D163" s="11"/>
      <c r="H163" s="12"/>
      <c r="I163" s="11"/>
      <c r="K163" s="12"/>
      <c r="L163" s="12"/>
      <c r="M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2.75" x14ac:dyDescent="0.2">
      <c r="A164" s="13"/>
      <c r="B164" s="13"/>
      <c r="C164" s="13"/>
      <c r="D164" s="11"/>
      <c r="H164" s="12"/>
      <c r="I164" s="11"/>
      <c r="K164" s="12"/>
      <c r="L164" s="12"/>
      <c r="M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2.75" x14ac:dyDescent="0.2">
      <c r="A165" s="13"/>
      <c r="B165" s="13"/>
      <c r="C165" s="13"/>
      <c r="D165" s="11"/>
      <c r="H165" s="12"/>
      <c r="I165" s="11"/>
      <c r="K165" s="12"/>
      <c r="L165" s="12"/>
      <c r="M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2.75" x14ac:dyDescent="0.2">
      <c r="A166" s="13"/>
      <c r="B166" s="13"/>
      <c r="C166" s="13"/>
      <c r="D166" s="11"/>
      <c r="H166" s="12"/>
      <c r="I166" s="11"/>
      <c r="K166" s="12"/>
      <c r="L166" s="12"/>
      <c r="M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2.75" x14ac:dyDescent="0.2">
      <c r="A167" s="13"/>
      <c r="B167" s="13"/>
      <c r="C167" s="13"/>
      <c r="D167" s="11"/>
      <c r="H167" s="12"/>
      <c r="I167" s="11"/>
      <c r="K167" s="12"/>
      <c r="L167" s="12"/>
      <c r="M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2.75" x14ac:dyDescent="0.2">
      <c r="A168" s="13"/>
      <c r="B168" s="13"/>
      <c r="C168" s="13"/>
      <c r="D168" s="11"/>
      <c r="H168" s="12"/>
      <c r="I168" s="11"/>
      <c r="K168" s="12"/>
      <c r="L168" s="12"/>
      <c r="M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2.75" x14ac:dyDescent="0.2">
      <c r="A169" s="13"/>
      <c r="B169" s="13"/>
      <c r="C169" s="13"/>
      <c r="D169" s="11"/>
      <c r="H169" s="12"/>
      <c r="I169" s="11"/>
      <c r="K169" s="12"/>
      <c r="L169" s="12"/>
      <c r="M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2.75" x14ac:dyDescent="0.2">
      <c r="A170" s="13"/>
      <c r="B170" s="13"/>
      <c r="C170" s="13"/>
      <c r="D170" s="11"/>
      <c r="H170" s="12"/>
      <c r="I170" s="11"/>
      <c r="K170" s="12"/>
      <c r="L170" s="12"/>
      <c r="M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2.75" x14ac:dyDescent="0.2">
      <c r="A171" s="13"/>
      <c r="B171" s="13"/>
      <c r="C171" s="13"/>
      <c r="D171" s="11"/>
      <c r="H171" s="12"/>
      <c r="I171" s="11"/>
      <c r="K171" s="12"/>
      <c r="L171" s="12"/>
      <c r="M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2.75" x14ac:dyDescent="0.2">
      <c r="A172" s="13"/>
      <c r="B172" s="13"/>
      <c r="C172" s="13"/>
      <c r="D172" s="11"/>
      <c r="H172" s="12"/>
      <c r="I172" s="11"/>
      <c r="K172" s="12"/>
      <c r="L172" s="12"/>
      <c r="M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2.75" x14ac:dyDescent="0.2">
      <c r="A173" s="13"/>
      <c r="B173" s="13"/>
      <c r="C173" s="13"/>
      <c r="D173" s="11"/>
      <c r="H173" s="12"/>
      <c r="I173" s="11"/>
      <c r="K173" s="12"/>
      <c r="L173" s="12"/>
      <c r="M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2.75" x14ac:dyDescent="0.2">
      <c r="A174" s="13"/>
      <c r="B174" s="13"/>
      <c r="C174" s="13"/>
      <c r="D174" s="11"/>
      <c r="H174" s="12"/>
      <c r="I174" s="11"/>
      <c r="K174" s="12"/>
      <c r="L174" s="12"/>
      <c r="M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2.75" x14ac:dyDescent="0.2">
      <c r="A175" s="13"/>
      <c r="B175" s="13"/>
      <c r="C175" s="13"/>
      <c r="D175" s="11"/>
      <c r="H175" s="12"/>
      <c r="I175" s="11"/>
      <c r="K175" s="12"/>
      <c r="L175" s="12"/>
      <c r="M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2.75" x14ac:dyDescent="0.2">
      <c r="A176" s="13"/>
      <c r="B176" s="13"/>
      <c r="C176" s="13"/>
      <c r="D176" s="11"/>
      <c r="H176" s="12"/>
      <c r="I176" s="11"/>
      <c r="K176" s="12"/>
      <c r="L176" s="12"/>
      <c r="M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2.75" x14ac:dyDescent="0.2">
      <c r="A177" s="13"/>
      <c r="B177" s="13"/>
      <c r="C177" s="13"/>
      <c r="D177" s="11"/>
      <c r="H177" s="12"/>
      <c r="I177" s="11"/>
      <c r="K177" s="12"/>
      <c r="L177" s="12"/>
      <c r="M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2.75" x14ac:dyDescent="0.2">
      <c r="A178" s="13"/>
      <c r="B178" s="13"/>
      <c r="C178" s="13"/>
      <c r="D178" s="11"/>
      <c r="H178" s="12"/>
      <c r="I178" s="11"/>
      <c r="K178" s="12"/>
      <c r="L178" s="12"/>
      <c r="M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2.75" x14ac:dyDescent="0.2">
      <c r="A179" s="13"/>
      <c r="B179" s="13"/>
      <c r="C179" s="13"/>
      <c r="D179" s="11"/>
      <c r="H179" s="12"/>
      <c r="I179" s="11"/>
      <c r="K179" s="12"/>
      <c r="L179" s="12"/>
      <c r="M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2.75" x14ac:dyDescent="0.2">
      <c r="A180" s="13"/>
      <c r="B180" s="13"/>
      <c r="C180" s="13"/>
      <c r="D180" s="11"/>
      <c r="H180" s="12"/>
      <c r="I180" s="11"/>
      <c r="K180" s="12"/>
      <c r="L180" s="12"/>
      <c r="M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2.75" x14ac:dyDescent="0.2">
      <c r="A181" s="13"/>
      <c r="B181" s="13"/>
      <c r="C181" s="13"/>
      <c r="D181" s="11"/>
      <c r="H181" s="12"/>
      <c r="I181" s="11"/>
      <c r="K181" s="12"/>
      <c r="L181" s="12"/>
      <c r="M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2.75" x14ac:dyDescent="0.2">
      <c r="A182" s="13"/>
      <c r="B182" s="13"/>
      <c r="C182" s="13"/>
      <c r="D182" s="11"/>
      <c r="H182" s="12"/>
      <c r="I182" s="11"/>
      <c r="K182" s="12"/>
      <c r="L182" s="12"/>
      <c r="M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2.75" x14ac:dyDescent="0.2">
      <c r="A183" s="13"/>
      <c r="B183" s="13"/>
      <c r="C183" s="13"/>
      <c r="D183" s="11"/>
      <c r="H183" s="12"/>
      <c r="I183" s="11"/>
      <c r="K183" s="12"/>
      <c r="L183" s="12"/>
      <c r="M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2.75" x14ac:dyDescent="0.2">
      <c r="A184" s="13"/>
      <c r="B184" s="13"/>
      <c r="C184" s="13"/>
      <c r="D184" s="11"/>
      <c r="H184" s="12"/>
      <c r="I184" s="11"/>
      <c r="K184" s="12"/>
      <c r="L184" s="12"/>
      <c r="M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2.75" x14ac:dyDescent="0.2">
      <c r="A185" s="13"/>
      <c r="B185" s="13"/>
      <c r="C185" s="13"/>
      <c r="D185" s="11"/>
      <c r="H185" s="12"/>
      <c r="I185" s="11"/>
      <c r="K185" s="12"/>
      <c r="L185" s="12"/>
      <c r="M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2.75" x14ac:dyDescent="0.2">
      <c r="A186" s="13"/>
      <c r="B186" s="13"/>
      <c r="C186" s="13"/>
      <c r="D186" s="11"/>
      <c r="H186" s="12"/>
      <c r="I186" s="11"/>
      <c r="K186" s="12"/>
      <c r="L186" s="12"/>
      <c r="M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2.75" x14ac:dyDescent="0.2">
      <c r="A187" s="13"/>
      <c r="B187" s="13"/>
      <c r="C187" s="13"/>
      <c r="D187" s="11"/>
      <c r="H187" s="12"/>
      <c r="I187" s="11"/>
      <c r="K187" s="12"/>
      <c r="L187" s="12"/>
      <c r="M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2.75" x14ac:dyDescent="0.2">
      <c r="A188" s="13"/>
      <c r="B188" s="13"/>
      <c r="C188" s="13"/>
      <c r="D188" s="11"/>
      <c r="H188" s="12"/>
      <c r="I188" s="11"/>
      <c r="K188" s="12"/>
      <c r="L188" s="12"/>
      <c r="M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2.75" x14ac:dyDescent="0.2">
      <c r="A189" s="13"/>
      <c r="B189" s="13"/>
      <c r="C189" s="13"/>
      <c r="D189" s="11"/>
      <c r="H189" s="12"/>
      <c r="I189" s="11"/>
      <c r="K189" s="12"/>
      <c r="L189" s="12"/>
      <c r="M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2.75" x14ac:dyDescent="0.2">
      <c r="A190" s="13"/>
      <c r="B190" s="13"/>
      <c r="C190" s="13"/>
      <c r="D190" s="11"/>
      <c r="H190" s="12"/>
      <c r="I190" s="11"/>
      <c r="K190" s="12"/>
      <c r="L190" s="12"/>
      <c r="M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2.75" x14ac:dyDescent="0.2">
      <c r="A191" s="13"/>
      <c r="B191" s="13"/>
      <c r="C191" s="13"/>
      <c r="D191" s="11"/>
      <c r="H191" s="12"/>
      <c r="I191" s="11"/>
      <c r="K191" s="12"/>
      <c r="L191" s="12"/>
      <c r="M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2.75" x14ac:dyDescent="0.2">
      <c r="A192" s="13"/>
      <c r="B192" s="13"/>
      <c r="C192" s="13"/>
      <c r="D192" s="11"/>
      <c r="H192" s="12"/>
      <c r="I192" s="11"/>
      <c r="K192" s="12"/>
      <c r="L192" s="12"/>
      <c r="M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2.75" x14ac:dyDescent="0.2">
      <c r="A193" s="13"/>
      <c r="B193" s="13"/>
      <c r="C193" s="13"/>
      <c r="D193" s="11"/>
      <c r="H193" s="12"/>
      <c r="I193" s="11"/>
      <c r="K193" s="12"/>
      <c r="L193" s="12"/>
      <c r="M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2.75" x14ac:dyDescent="0.2">
      <c r="A194" s="13"/>
      <c r="B194" s="13"/>
      <c r="C194" s="13"/>
      <c r="D194" s="11"/>
      <c r="H194" s="12"/>
      <c r="I194" s="11"/>
      <c r="K194" s="12"/>
      <c r="L194" s="12"/>
      <c r="M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2.75" x14ac:dyDescent="0.2">
      <c r="A195" s="13"/>
      <c r="B195" s="13"/>
      <c r="C195" s="13"/>
      <c r="D195" s="11"/>
      <c r="H195" s="12"/>
      <c r="I195" s="11"/>
      <c r="K195" s="12"/>
      <c r="L195" s="12"/>
      <c r="M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2.75" x14ac:dyDescent="0.2">
      <c r="A196" s="13"/>
      <c r="B196" s="13"/>
      <c r="C196" s="13"/>
      <c r="D196" s="11"/>
      <c r="H196" s="12"/>
      <c r="I196" s="11"/>
      <c r="K196" s="12"/>
      <c r="L196" s="12"/>
      <c r="M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2.75" x14ac:dyDescent="0.2">
      <c r="A197" s="13"/>
      <c r="B197" s="13"/>
      <c r="C197" s="13"/>
      <c r="D197" s="11"/>
      <c r="H197" s="12"/>
      <c r="I197" s="11"/>
      <c r="K197" s="12"/>
      <c r="L197" s="12"/>
      <c r="M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2.75" x14ac:dyDescent="0.2">
      <c r="A198" s="13"/>
      <c r="B198" s="13"/>
      <c r="C198" s="13"/>
      <c r="D198" s="11"/>
      <c r="H198" s="12"/>
      <c r="I198" s="11"/>
      <c r="K198" s="12"/>
      <c r="L198" s="12"/>
      <c r="M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2.75" x14ac:dyDescent="0.2">
      <c r="A199" s="13"/>
      <c r="B199" s="13"/>
      <c r="C199" s="13"/>
      <c r="D199" s="11"/>
      <c r="H199" s="12"/>
      <c r="I199" s="11"/>
      <c r="K199" s="12"/>
      <c r="L199" s="12"/>
      <c r="M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2.75" x14ac:dyDescent="0.2">
      <c r="A200" s="13"/>
      <c r="B200" s="13"/>
      <c r="C200" s="13"/>
      <c r="D200" s="11"/>
      <c r="H200" s="12"/>
      <c r="I200" s="11"/>
      <c r="K200" s="12"/>
      <c r="L200" s="12"/>
      <c r="M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2.75" x14ac:dyDescent="0.2">
      <c r="A201" s="13"/>
      <c r="B201" s="13"/>
      <c r="C201" s="13"/>
      <c r="D201" s="11"/>
      <c r="H201" s="12"/>
      <c r="I201" s="11"/>
      <c r="K201" s="12"/>
      <c r="L201" s="12"/>
      <c r="M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2.75" x14ac:dyDescent="0.2">
      <c r="A202" s="13"/>
      <c r="B202" s="13"/>
      <c r="C202" s="13"/>
      <c r="D202" s="11"/>
      <c r="H202" s="12"/>
      <c r="I202" s="11"/>
      <c r="K202" s="12"/>
      <c r="L202" s="12"/>
      <c r="M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2.75" x14ac:dyDescent="0.2">
      <c r="A203" s="13"/>
      <c r="B203" s="13"/>
      <c r="C203" s="13"/>
      <c r="D203" s="11"/>
      <c r="H203" s="12"/>
      <c r="I203" s="11"/>
      <c r="K203" s="12"/>
      <c r="L203" s="12"/>
      <c r="M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2.75" x14ac:dyDescent="0.2">
      <c r="A204" s="13"/>
      <c r="B204" s="13"/>
      <c r="C204" s="13"/>
      <c r="D204" s="11"/>
      <c r="H204" s="12"/>
      <c r="I204" s="11"/>
      <c r="K204" s="12"/>
      <c r="L204" s="12"/>
      <c r="M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2.75" x14ac:dyDescent="0.2">
      <c r="A205" s="13"/>
      <c r="B205" s="13"/>
      <c r="C205" s="13"/>
      <c r="D205" s="11"/>
      <c r="H205" s="12"/>
      <c r="I205" s="11"/>
      <c r="K205" s="12"/>
      <c r="L205" s="12"/>
      <c r="M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2.75" x14ac:dyDescent="0.2">
      <c r="A206" s="13"/>
      <c r="B206" s="13"/>
      <c r="C206" s="13"/>
      <c r="D206" s="11"/>
      <c r="H206" s="12"/>
      <c r="I206" s="11"/>
      <c r="K206" s="12"/>
      <c r="L206" s="12"/>
      <c r="M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2.75" x14ac:dyDescent="0.2">
      <c r="A207" s="13"/>
      <c r="B207" s="13"/>
      <c r="C207" s="13"/>
      <c r="D207" s="11"/>
      <c r="H207" s="12"/>
      <c r="I207" s="11"/>
      <c r="K207" s="12"/>
      <c r="L207" s="12"/>
      <c r="M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2.75" x14ac:dyDescent="0.2">
      <c r="A208" s="13"/>
      <c r="B208" s="13"/>
      <c r="C208" s="13"/>
      <c r="D208" s="11"/>
      <c r="H208" s="12"/>
      <c r="I208" s="11"/>
      <c r="K208" s="12"/>
      <c r="L208" s="12"/>
      <c r="M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2.75" x14ac:dyDescent="0.2">
      <c r="A209" s="13"/>
      <c r="B209" s="13"/>
      <c r="C209" s="13"/>
      <c r="D209" s="11"/>
      <c r="H209" s="12"/>
      <c r="I209" s="11"/>
      <c r="K209" s="12"/>
      <c r="L209" s="12"/>
      <c r="M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2.75" x14ac:dyDescent="0.2">
      <c r="A210" s="13"/>
      <c r="B210" s="13"/>
      <c r="C210" s="13"/>
      <c r="D210" s="11"/>
      <c r="H210" s="12"/>
      <c r="I210" s="11"/>
      <c r="K210" s="12"/>
      <c r="L210" s="12"/>
      <c r="M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2.75" x14ac:dyDescent="0.2">
      <c r="A211" s="13"/>
      <c r="B211" s="13"/>
      <c r="C211" s="13"/>
      <c r="D211" s="11"/>
      <c r="H211" s="12"/>
      <c r="I211" s="11"/>
      <c r="K211" s="12"/>
      <c r="L211" s="12"/>
      <c r="M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2.75" x14ac:dyDescent="0.2">
      <c r="A212" s="13"/>
      <c r="B212" s="13"/>
      <c r="C212" s="13"/>
      <c r="D212" s="11"/>
      <c r="H212" s="12"/>
      <c r="I212" s="11"/>
      <c r="K212" s="12"/>
      <c r="L212" s="12"/>
      <c r="M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2.75" x14ac:dyDescent="0.2">
      <c r="A213" s="13"/>
      <c r="B213" s="13"/>
      <c r="C213" s="13"/>
      <c r="D213" s="11"/>
      <c r="H213" s="12"/>
      <c r="I213" s="11"/>
      <c r="K213" s="12"/>
      <c r="L213" s="12"/>
      <c r="M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2.75" x14ac:dyDescent="0.2">
      <c r="A214" s="13"/>
      <c r="B214" s="13"/>
      <c r="C214" s="13"/>
      <c r="D214" s="11"/>
      <c r="H214" s="12"/>
      <c r="I214" s="11"/>
      <c r="K214" s="12"/>
      <c r="L214" s="12"/>
      <c r="M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2.75" x14ac:dyDescent="0.2">
      <c r="A215" s="13"/>
      <c r="B215" s="13"/>
      <c r="C215" s="13"/>
      <c r="D215" s="11"/>
      <c r="H215" s="12"/>
      <c r="I215" s="11"/>
      <c r="K215" s="12"/>
      <c r="L215" s="12"/>
      <c r="M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2.75" x14ac:dyDescent="0.2">
      <c r="A216" s="13"/>
      <c r="B216" s="13"/>
      <c r="C216" s="13"/>
      <c r="D216" s="11"/>
      <c r="H216" s="12"/>
      <c r="I216" s="11"/>
      <c r="K216" s="12"/>
      <c r="L216" s="12"/>
      <c r="M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2.75" x14ac:dyDescent="0.2">
      <c r="A217" s="13"/>
      <c r="B217" s="13"/>
      <c r="C217" s="13"/>
      <c r="D217" s="11"/>
      <c r="H217" s="12"/>
      <c r="I217" s="11"/>
      <c r="K217" s="12"/>
      <c r="L217" s="12"/>
      <c r="M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2.75" x14ac:dyDescent="0.2">
      <c r="A218" s="13"/>
      <c r="B218" s="13"/>
      <c r="C218" s="13"/>
      <c r="D218" s="11"/>
      <c r="H218" s="12"/>
      <c r="I218" s="11"/>
      <c r="K218" s="12"/>
      <c r="L218" s="12"/>
      <c r="M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2.75" x14ac:dyDescent="0.2">
      <c r="A219" s="13"/>
      <c r="B219" s="13"/>
      <c r="C219" s="13"/>
      <c r="D219" s="11"/>
      <c r="H219" s="12"/>
      <c r="I219" s="11"/>
      <c r="K219" s="12"/>
      <c r="L219" s="12"/>
      <c r="M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2.75" x14ac:dyDescent="0.2">
      <c r="A220" s="13"/>
      <c r="B220" s="13"/>
      <c r="C220" s="13"/>
      <c r="D220" s="11"/>
      <c r="H220" s="12"/>
      <c r="I220" s="11"/>
      <c r="K220" s="12"/>
      <c r="L220" s="12"/>
      <c r="M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2.75" x14ac:dyDescent="0.2">
      <c r="A221" s="13"/>
      <c r="B221" s="13"/>
      <c r="C221" s="13"/>
      <c r="D221" s="11"/>
      <c r="H221" s="12"/>
      <c r="I221" s="11"/>
      <c r="K221" s="12"/>
      <c r="L221" s="12"/>
      <c r="M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2.75" x14ac:dyDescent="0.2">
      <c r="A222" s="13"/>
      <c r="B222" s="13"/>
      <c r="C222" s="13"/>
      <c r="D222" s="11"/>
      <c r="H222" s="12"/>
      <c r="I222" s="11"/>
      <c r="K222" s="12"/>
      <c r="L222" s="12"/>
      <c r="M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2.75" x14ac:dyDescent="0.2">
      <c r="A223" s="13"/>
      <c r="B223" s="13"/>
      <c r="C223" s="13"/>
      <c r="D223" s="11"/>
      <c r="H223" s="12"/>
      <c r="I223" s="11"/>
      <c r="K223" s="12"/>
      <c r="L223" s="12"/>
      <c r="M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2.75" x14ac:dyDescent="0.2">
      <c r="A224" s="13"/>
      <c r="B224" s="13"/>
      <c r="C224" s="13"/>
      <c r="D224" s="11"/>
      <c r="H224" s="12"/>
      <c r="I224" s="11"/>
      <c r="K224" s="12"/>
      <c r="L224" s="12"/>
      <c r="M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2.75" x14ac:dyDescent="0.2">
      <c r="A225" s="13"/>
      <c r="B225" s="13"/>
      <c r="C225" s="13"/>
      <c r="D225" s="11"/>
      <c r="H225" s="12"/>
      <c r="I225" s="11"/>
      <c r="K225" s="12"/>
      <c r="L225" s="12"/>
      <c r="M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2.75" x14ac:dyDescent="0.2">
      <c r="A226" s="13"/>
      <c r="B226" s="13"/>
      <c r="C226" s="13"/>
      <c r="D226" s="11"/>
      <c r="H226" s="12"/>
      <c r="I226" s="11"/>
      <c r="K226" s="12"/>
      <c r="L226" s="12"/>
      <c r="M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2.75" x14ac:dyDescent="0.2">
      <c r="A227" s="13"/>
      <c r="B227" s="13"/>
      <c r="C227" s="13"/>
      <c r="D227" s="11"/>
      <c r="H227" s="12"/>
      <c r="I227" s="11"/>
      <c r="K227" s="12"/>
      <c r="L227" s="12"/>
      <c r="M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2.75" x14ac:dyDescent="0.2">
      <c r="A228" s="13"/>
      <c r="B228" s="13"/>
      <c r="C228" s="13"/>
      <c r="D228" s="11"/>
      <c r="H228" s="12"/>
      <c r="I228" s="11"/>
      <c r="K228" s="12"/>
      <c r="L228" s="12"/>
      <c r="M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2.75" x14ac:dyDescent="0.2">
      <c r="A229" s="13"/>
      <c r="B229" s="13"/>
      <c r="C229" s="13"/>
      <c r="D229" s="11"/>
      <c r="H229" s="12"/>
      <c r="I229" s="11"/>
      <c r="K229" s="12"/>
      <c r="L229" s="12"/>
      <c r="M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2.75" x14ac:dyDescent="0.2">
      <c r="A230" s="13"/>
      <c r="B230" s="13"/>
      <c r="C230" s="13"/>
      <c r="D230" s="11"/>
      <c r="H230" s="12"/>
      <c r="I230" s="11"/>
      <c r="K230" s="12"/>
      <c r="L230" s="12"/>
      <c r="M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2.75" x14ac:dyDescent="0.2">
      <c r="A231" s="13"/>
      <c r="B231" s="13"/>
      <c r="C231" s="13"/>
      <c r="D231" s="11"/>
      <c r="H231" s="12"/>
      <c r="I231" s="11"/>
      <c r="K231" s="12"/>
      <c r="L231" s="12"/>
      <c r="M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2.75" x14ac:dyDescent="0.2">
      <c r="A232" s="13"/>
      <c r="B232" s="13"/>
      <c r="C232" s="13"/>
      <c r="D232" s="11"/>
      <c r="H232" s="12"/>
      <c r="I232" s="11"/>
      <c r="K232" s="12"/>
      <c r="L232" s="12"/>
      <c r="M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2.75" x14ac:dyDescent="0.2">
      <c r="A233" s="13"/>
      <c r="B233" s="13"/>
      <c r="C233" s="13"/>
      <c r="D233" s="11"/>
      <c r="H233" s="12"/>
      <c r="I233" s="11"/>
      <c r="K233" s="12"/>
      <c r="L233" s="12"/>
      <c r="M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2.75" x14ac:dyDescent="0.2">
      <c r="A234" s="13"/>
      <c r="B234" s="13"/>
      <c r="C234" s="13"/>
      <c r="D234" s="11"/>
      <c r="H234" s="12"/>
      <c r="I234" s="11"/>
      <c r="K234" s="12"/>
      <c r="L234" s="12"/>
      <c r="M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2.75" x14ac:dyDescent="0.2">
      <c r="A235" s="13"/>
      <c r="B235" s="13"/>
      <c r="C235" s="13"/>
      <c r="D235" s="11"/>
      <c r="H235" s="12"/>
      <c r="I235" s="11"/>
      <c r="K235" s="12"/>
      <c r="L235" s="12"/>
      <c r="M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2.75" x14ac:dyDescent="0.2">
      <c r="A236" s="13"/>
      <c r="B236" s="13"/>
      <c r="C236" s="13"/>
      <c r="D236" s="11"/>
      <c r="H236" s="12"/>
      <c r="I236" s="11"/>
      <c r="K236" s="12"/>
      <c r="L236" s="12"/>
      <c r="M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2.75" x14ac:dyDescent="0.2">
      <c r="A237" s="13"/>
      <c r="B237" s="13"/>
      <c r="C237" s="13"/>
      <c r="D237" s="11"/>
      <c r="H237" s="12"/>
      <c r="I237" s="11"/>
      <c r="K237" s="12"/>
      <c r="L237" s="12"/>
      <c r="M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2.75" x14ac:dyDescent="0.2">
      <c r="A238" s="13"/>
      <c r="B238" s="13"/>
      <c r="C238" s="13"/>
      <c r="D238" s="11"/>
      <c r="H238" s="12"/>
      <c r="I238" s="11"/>
      <c r="K238" s="12"/>
      <c r="L238" s="12"/>
      <c r="M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2.75" x14ac:dyDescent="0.2">
      <c r="A239" s="13"/>
      <c r="B239" s="13"/>
      <c r="C239" s="13"/>
      <c r="D239" s="11"/>
      <c r="H239" s="12"/>
      <c r="I239" s="11"/>
      <c r="K239" s="12"/>
      <c r="L239" s="12"/>
      <c r="M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2.75" x14ac:dyDescent="0.2">
      <c r="A240" s="13"/>
      <c r="B240" s="13"/>
      <c r="C240" s="13"/>
      <c r="D240" s="11"/>
      <c r="H240" s="12"/>
      <c r="I240" s="11"/>
      <c r="K240" s="12"/>
      <c r="L240" s="12"/>
      <c r="M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2.75" x14ac:dyDescent="0.2">
      <c r="A241" s="13"/>
      <c r="B241" s="13"/>
      <c r="C241" s="13"/>
      <c r="D241" s="11"/>
      <c r="H241" s="12"/>
      <c r="I241" s="11"/>
      <c r="K241" s="12"/>
      <c r="L241" s="12"/>
      <c r="M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2.75" x14ac:dyDescent="0.2">
      <c r="A242" s="13"/>
      <c r="B242" s="13"/>
      <c r="C242" s="13"/>
      <c r="D242" s="11"/>
      <c r="H242" s="12"/>
      <c r="I242" s="11"/>
      <c r="K242" s="12"/>
      <c r="L242" s="12"/>
      <c r="M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2.75" x14ac:dyDescent="0.2">
      <c r="A243" s="13"/>
      <c r="B243" s="13"/>
      <c r="C243" s="13"/>
      <c r="D243" s="11"/>
      <c r="H243" s="12"/>
      <c r="I243" s="11"/>
      <c r="K243" s="12"/>
      <c r="L243" s="12"/>
      <c r="M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2.75" x14ac:dyDescent="0.2">
      <c r="A244" s="13"/>
      <c r="B244" s="13"/>
      <c r="C244" s="13"/>
      <c r="D244" s="11"/>
      <c r="H244" s="12"/>
      <c r="I244" s="11"/>
      <c r="K244" s="12"/>
      <c r="L244" s="12"/>
      <c r="M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2.75" x14ac:dyDescent="0.2">
      <c r="A245" s="13"/>
      <c r="B245" s="13"/>
      <c r="C245" s="13"/>
      <c r="D245" s="11"/>
      <c r="H245" s="12"/>
      <c r="I245" s="11"/>
      <c r="K245" s="12"/>
      <c r="L245" s="12"/>
      <c r="M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2.75" x14ac:dyDescent="0.2">
      <c r="A246" s="13"/>
      <c r="B246" s="13"/>
      <c r="C246" s="13"/>
      <c r="D246" s="11"/>
      <c r="H246" s="12"/>
      <c r="I246" s="11"/>
      <c r="K246" s="12"/>
      <c r="L246" s="12"/>
      <c r="M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2.75" x14ac:dyDescent="0.2">
      <c r="A247" s="13"/>
      <c r="B247" s="13"/>
      <c r="C247" s="13"/>
      <c r="D247" s="11"/>
      <c r="H247" s="12"/>
      <c r="I247" s="11"/>
      <c r="K247" s="12"/>
      <c r="L247" s="12"/>
      <c r="M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2.75" x14ac:dyDescent="0.2">
      <c r="A248" s="13"/>
      <c r="B248" s="13"/>
      <c r="C248" s="13"/>
      <c r="D248" s="11"/>
      <c r="H248" s="12"/>
      <c r="I248" s="11"/>
      <c r="K248" s="12"/>
      <c r="L248" s="12"/>
      <c r="M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2.75" x14ac:dyDescent="0.2">
      <c r="A249" s="13"/>
      <c r="B249" s="13"/>
      <c r="C249" s="13"/>
      <c r="D249" s="11"/>
      <c r="H249" s="12"/>
      <c r="I249" s="11"/>
      <c r="K249" s="12"/>
      <c r="L249" s="12"/>
      <c r="M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2.75" x14ac:dyDescent="0.2">
      <c r="A250" s="13"/>
      <c r="B250" s="13"/>
      <c r="C250" s="13"/>
      <c r="D250" s="11"/>
      <c r="H250" s="12"/>
      <c r="I250" s="11"/>
      <c r="K250" s="12"/>
      <c r="L250" s="12"/>
      <c r="M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2.75" x14ac:dyDescent="0.2">
      <c r="A251" s="13"/>
      <c r="B251" s="13"/>
      <c r="C251" s="13"/>
      <c r="D251" s="11"/>
      <c r="H251" s="12"/>
      <c r="I251" s="11"/>
      <c r="K251" s="12"/>
      <c r="L251" s="12"/>
      <c r="M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2.75" x14ac:dyDescent="0.2">
      <c r="A252" s="13"/>
      <c r="B252" s="13"/>
      <c r="C252" s="13"/>
      <c r="D252" s="11"/>
      <c r="H252" s="12"/>
      <c r="I252" s="11"/>
      <c r="K252" s="12"/>
      <c r="L252" s="12"/>
      <c r="M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2.75" x14ac:dyDescent="0.2">
      <c r="A253" s="13"/>
      <c r="B253" s="13"/>
      <c r="C253" s="13"/>
      <c r="D253" s="11"/>
      <c r="H253" s="12"/>
      <c r="I253" s="11"/>
      <c r="K253" s="12"/>
      <c r="L253" s="12"/>
      <c r="M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2.75" x14ac:dyDescent="0.2">
      <c r="A254" s="13"/>
      <c r="B254" s="13"/>
      <c r="C254" s="13"/>
      <c r="D254" s="11"/>
      <c r="H254" s="12"/>
      <c r="I254" s="11"/>
      <c r="K254" s="12"/>
      <c r="L254" s="12"/>
      <c r="M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2.75" x14ac:dyDescent="0.2">
      <c r="A255" s="13"/>
      <c r="B255" s="13"/>
      <c r="C255" s="13"/>
      <c r="D255" s="11"/>
      <c r="H255" s="12"/>
      <c r="I255" s="11"/>
      <c r="K255" s="12"/>
      <c r="L255" s="12"/>
      <c r="M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2.75" x14ac:dyDescent="0.2">
      <c r="A256" s="13"/>
      <c r="B256" s="13"/>
      <c r="C256" s="13"/>
      <c r="D256" s="11"/>
      <c r="H256" s="12"/>
      <c r="I256" s="11"/>
      <c r="K256" s="12"/>
      <c r="L256" s="12"/>
      <c r="M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2.75" x14ac:dyDescent="0.2">
      <c r="A257" s="13"/>
      <c r="B257" s="13"/>
      <c r="C257" s="13"/>
      <c r="D257" s="11"/>
      <c r="H257" s="12"/>
      <c r="I257" s="11"/>
      <c r="K257" s="12"/>
      <c r="L257" s="12"/>
      <c r="M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2.75" x14ac:dyDescent="0.2">
      <c r="A258" s="13"/>
      <c r="B258" s="13"/>
      <c r="C258" s="13"/>
      <c r="D258" s="11"/>
      <c r="H258" s="12"/>
      <c r="I258" s="11"/>
      <c r="K258" s="12"/>
      <c r="L258" s="12"/>
      <c r="M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2.75" x14ac:dyDescent="0.2">
      <c r="A259" s="13"/>
      <c r="B259" s="13"/>
      <c r="C259" s="13"/>
      <c r="D259" s="11"/>
      <c r="H259" s="12"/>
      <c r="I259" s="11"/>
      <c r="K259" s="12"/>
      <c r="L259" s="12"/>
      <c r="M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2.75" x14ac:dyDescent="0.2">
      <c r="A260" s="13"/>
      <c r="B260" s="13"/>
      <c r="C260" s="13"/>
      <c r="D260" s="11"/>
      <c r="H260" s="12"/>
      <c r="I260" s="11"/>
      <c r="K260" s="12"/>
      <c r="L260" s="12"/>
      <c r="M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2.75" x14ac:dyDescent="0.2">
      <c r="A261" s="13"/>
      <c r="B261" s="13"/>
      <c r="C261" s="13"/>
      <c r="D261" s="11"/>
      <c r="H261" s="12"/>
      <c r="I261" s="11"/>
      <c r="K261" s="12"/>
      <c r="L261" s="12"/>
      <c r="M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2.75" x14ac:dyDescent="0.2">
      <c r="A262" s="13"/>
      <c r="B262" s="13"/>
      <c r="C262" s="13"/>
      <c r="D262" s="11"/>
      <c r="H262" s="12"/>
      <c r="I262" s="11"/>
      <c r="K262" s="12"/>
      <c r="L262" s="12"/>
      <c r="M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2.75" x14ac:dyDescent="0.2">
      <c r="A263" s="13"/>
      <c r="B263" s="13"/>
      <c r="C263" s="13"/>
      <c r="D263" s="11"/>
      <c r="H263" s="12"/>
      <c r="I263" s="11"/>
      <c r="K263" s="12"/>
      <c r="L263" s="12"/>
      <c r="M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2.75" x14ac:dyDescent="0.2">
      <c r="A264" s="13"/>
      <c r="B264" s="13"/>
      <c r="C264" s="13"/>
      <c r="D264" s="11"/>
      <c r="H264" s="12"/>
      <c r="I264" s="11"/>
      <c r="K264" s="12"/>
      <c r="L264" s="12"/>
      <c r="M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2.75" x14ac:dyDescent="0.2">
      <c r="A265" s="13"/>
      <c r="B265" s="13"/>
      <c r="C265" s="13"/>
      <c r="D265" s="11"/>
      <c r="H265" s="12"/>
      <c r="I265" s="11"/>
      <c r="K265" s="12"/>
      <c r="L265" s="12"/>
      <c r="M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2.75" x14ac:dyDescent="0.2">
      <c r="A266" s="13"/>
      <c r="B266" s="13"/>
      <c r="C266" s="13"/>
      <c r="D266" s="11"/>
      <c r="H266" s="12"/>
      <c r="I266" s="11"/>
      <c r="K266" s="12"/>
      <c r="L266" s="12"/>
      <c r="M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2.75" x14ac:dyDescent="0.2">
      <c r="A267" s="13"/>
      <c r="B267" s="13"/>
      <c r="C267" s="13"/>
      <c r="D267" s="11"/>
      <c r="H267" s="12"/>
      <c r="I267" s="11"/>
      <c r="K267" s="12"/>
      <c r="L267" s="12"/>
      <c r="M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2.75" x14ac:dyDescent="0.2">
      <c r="A268" s="13"/>
      <c r="B268" s="13"/>
      <c r="C268" s="13"/>
      <c r="D268" s="11"/>
      <c r="H268" s="12"/>
      <c r="I268" s="11"/>
      <c r="K268" s="12"/>
      <c r="L268" s="12"/>
      <c r="M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2.75" x14ac:dyDescent="0.2">
      <c r="A269" s="13"/>
      <c r="B269" s="13"/>
      <c r="C269" s="13"/>
      <c r="D269" s="11"/>
      <c r="H269" s="12"/>
      <c r="I269" s="11"/>
      <c r="K269" s="12"/>
      <c r="L269" s="12"/>
      <c r="M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2.75" x14ac:dyDescent="0.2">
      <c r="A270" s="13"/>
      <c r="B270" s="13"/>
      <c r="C270" s="13"/>
      <c r="D270" s="11"/>
      <c r="H270" s="12"/>
      <c r="I270" s="11"/>
      <c r="K270" s="12"/>
      <c r="L270" s="12"/>
      <c r="M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2.75" x14ac:dyDescent="0.2">
      <c r="A271" s="13"/>
      <c r="B271" s="13"/>
      <c r="C271" s="13"/>
      <c r="D271" s="11"/>
      <c r="H271" s="12"/>
      <c r="I271" s="11"/>
      <c r="K271" s="12"/>
      <c r="L271" s="12"/>
      <c r="M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2.75" x14ac:dyDescent="0.2">
      <c r="A272" s="13"/>
      <c r="B272" s="13"/>
      <c r="C272" s="13"/>
      <c r="D272" s="11"/>
      <c r="H272" s="12"/>
      <c r="I272" s="11"/>
      <c r="K272" s="12"/>
      <c r="L272" s="12"/>
      <c r="M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2.75" x14ac:dyDescent="0.2">
      <c r="A273" s="13"/>
      <c r="B273" s="13"/>
      <c r="C273" s="13"/>
      <c r="D273" s="11"/>
      <c r="H273" s="12"/>
      <c r="I273" s="11"/>
      <c r="K273" s="12"/>
      <c r="L273" s="12"/>
      <c r="M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2.75" x14ac:dyDescent="0.2">
      <c r="A274" s="13"/>
      <c r="B274" s="13"/>
      <c r="C274" s="13"/>
      <c r="D274" s="11"/>
      <c r="H274" s="12"/>
      <c r="I274" s="11"/>
      <c r="K274" s="12"/>
      <c r="L274" s="12"/>
      <c r="M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2.75" x14ac:dyDescent="0.2">
      <c r="A275" s="13"/>
      <c r="B275" s="13"/>
      <c r="C275" s="13"/>
      <c r="D275" s="11"/>
      <c r="H275" s="12"/>
      <c r="I275" s="11"/>
      <c r="K275" s="12"/>
      <c r="L275" s="12"/>
      <c r="M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2.75" x14ac:dyDescent="0.2">
      <c r="A276" s="13"/>
      <c r="B276" s="13"/>
      <c r="C276" s="13"/>
      <c r="D276" s="11"/>
      <c r="H276" s="12"/>
      <c r="I276" s="11"/>
      <c r="K276" s="12"/>
      <c r="L276" s="12"/>
      <c r="M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2.75" x14ac:dyDescent="0.2">
      <c r="A277" s="13"/>
      <c r="B277" s="13"/>
      <c r="C277" s="13"/>
      <c r="D277" s="11"/>
      <c r="H277" s="12"/>
      <c r="I277" s="11"/>
      <c r="K277" s="12"/>
      <c r="L277" s="12"/>
      <c r="M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2.75" x14ac:dyDescent="0.2">
      <c r="A278" s="13"/>
      <c r="B278" s="13"/>
      <c r="C278" s="13"/>
      <c r="D278" s="11"/>
      <c r="H278" s="12"/>
      <c r="I278" s="11"/>
      <c r="K278" s="12"/>
      <c r="L278" s="12"/>
      <c r="M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2.75" x14ac:dyDescent="0.2">
      <c r="A279" s="13"/>
      <c r="B279" s="13"/>
      <c r="C279" s="13"/>
      <c r="D279" s="11"/>
      <c r="H279" s="12"/>
      <c r="I279" s="11"/>
      <c r="K279" s="12"/>
      <c r="L279" s="12"/>
      <c r="M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2.75" x14ac:dyDescent="0.2">
      <c r="A280" s="13"/>
      <c r="B280" s="13"/>
      <c r="C280" s="13"/>
      <c r="D280" s="11"/>
      <c r="H280" s="12"/>
      <c r="I280" s="11"/>
      <c r="K280" s="12"/>
      <c r="L280" s="12"/>
      <c r="M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2.75" x14ac:dyDescent="0.2">
      <c r="A281" s="13"/>
      <c r="B281" s="13"/>
      <c r="C281" s="13"/>
      <c r="D281" s="11"/>
      <c r="H281" s="12"/>
      <c r="I281" s="11"/>
      <c r="K281" s="12"/>
      <c r="L281" s="12"/>
      <c r="M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2.75" x14ac:dyDescent="0.2">
      <c r="A282" s="13"/>
      <c r="B282" s="13"/>
      <c r="C282" s="13"/>
      <c r="D282" s="11"/>
      <c r="H282" s="12"/>
      <c r="I282" s="11"/>
      <c r="K282" s="12"/>
      <c r="L282" s="12"/>
      <c r="M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2.75" x14ac:dyDescent="0.2">
      <c r="A283" s="13"/>
      <c r="B283" s="13"/>
      <c r="C283" s="13"/>
      <c r="D283" s="11"/>
      <c r="H283" s="12"/>
      <c r="I283" s="11"/>
      <c r="K283" s="12"/>
      <c r="L283" s="12"/>
      <c r="M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2.75" x14ac:dyDescent="0.2">
      <c r="A284" s="13"/>
      <c r="B284" s="13"/>
      <c r="C284" s="13"/>
      <c r="D284" s="11"/>
      <c r="H284" s="12"/>
      <c r="I284" s="11"/>
      <c r="K284" s="12"/>
      <c r="L284" s="12"/>
      <c r="M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2.75" x14ac:dyDescent="0.2">
      <c r="A285" s="13"/>
      <c r="B285" s="13"/>
      <c r="C285" s="13"/>
      <c r="D285" s="11"/>
      <c r="H285" s="12"/>
      <c r="I285" s="11"/>
      <c r="K285" s="12"/>
      <c r="L285" s="12"/>
      <c r="M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2.75" x14ac:dyDescent="0.2">
      <c r="A286" s="13"/>
      <c r="B286" s="13"/>
      <c r="C286" s="13"/>
      <c r="D286" s="11"/>
      <c r="H286" s="12"/>
      <c r="I286" s="11"/>
      <c r="K286" s="12"/>
      <c r="L286" s="12"/>
      <c r="M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2.75" x14ac:dyDescent="0.2">
      <c r="A287" s="13"/>
      <c r="B287" s="13"/>
      <c r="C287" s="13"/>
      <c r="D287" s="11"/>
      <c r="H287" s="12"/>
      <c r="I287" s="11"/>
      <c r="K287" s="12"/>
      <c r="L287" s="12"/>
      <c r="M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2.75" x14ac:dyDescent="0.2">
      <c r="A288" s="13"/>
      <c r="B288" s="13"/>
      <c r="C288" s="13"/>
      <c r="D288" s="11"/>
      <c r="H288" s="12"/>
      <c r="I288" s="11"/>
      <c r="K288" s="12"/>
      <c r="L288" s="12"/>
      <c r="M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2.75" x14ac:dyDescent="0.2">
      <c r="A289" s="13"/>
      <c r="B289" s="13"/>
      <c r="C289" s="13"/>
      <c r="D289" s="11"/>
      <c r="H289" s="12"/>
      <c r="I289" s="11"/>
      <c r="K289" s="12"/>
      <c r="L289" s="12"/>
      <c r="M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2.75" x14ac:dyDescent="0.2">
      <c r="A290" s="13"/>
      <c r="B290" s="13"/>
      <c r="C290" s="13"/>
      <c r="D290" s="11"/>
      <c r="H290" s="12"/>
      <c r="I290" s="11"/>
      <c r="K290" s="12"/>
      <c r="L290" s="12"/>
      <c r="M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2.75" x14ac:dyDescent="0.2">
      <c r="A291" s="13"/>
      <c r="B291" s="13"/>
      <c r="C291" s="13"/>
      <c r="D291" s="11"/>
      <c r="H291" s="12"/>
      <c r="I291" s="11"/>
      <c r="K291" s="12"/>
      <c r="L291" s="12"/>
      <c r="M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2.75" x14ac:dyDescent="0.2">
      <c r="A292" s="13"/>
      <c r="B292" s="13"/>
      <c r="C292" s="13"/>
      <c r="D292" s="11"/>
      <c r="H292" s="12"/>
      <c r="I292" s="11"/>
      <c r="K292" s="12"/>
      <c r="L292" s="12"/>
      <c r="M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2.75" x14ac:dyDescent="0.2">
      <c r="A293" s="13"/>
      <c r="B293" s="13"/>
      <c r="C293" s="13"/>
      <c r="D293" s="11"/>
      <c r="H293" s="12"/>
      <c r="I293" s="11"/>
      <c r="K293" s="12"/>
      <c r="L293" s="12"/>
      <c r="M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2.75" x14ac:dyDescent="0.2">
      <c r="A294" s="13"/>
      <c r="B294" s="13"/>
      <c r="C294" s="13"/>
      <c r="D294" s="11"/>
      <c r="H294" s="12"/>
      <c r="I294" s="11"/>
      <c r="K294" s="12"/>
      <c r="L294" s="12"/>
      <c r="M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2.75" x14ac:dyDescent="0.2">
      <c r="A295" s="13"/>
      <c r="B295" s="13"/>
      <c r="C295" s="13"/>
      <c r="D295" s="11"/>
      <c r="H295" s="12"/>
      <c r="I295" s="11"/>
      <c r="K295" s="12"/>
      <c r="L295" s="12"/>
      <c r="M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2.75" x14ac:dyDescent="0.2">
      <c r="A296" s="13"/>
      <c r="B296" s="13"/>
      <c r="C296" s="13"/>
      <c r="D296" s="11"/>
      <c r="H296" s="12"/>
      <c r="I296" s="11"/>
      <c r="K296" s="12"/>
      <c r="L296" s="12"/>
      <c r="M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2.75" x14ac:dyDescent="0.2">
      <c r="A297" s="13"/>
      <c r="B297" s="13"/>
      <c r="C297" s="13"/>
      <c r="D297" s="11"/>
      <c r="H297" s="12"/>
      <c r="I297" s="11"/>
      <c r="K297" s="12"/>
      <c r="L297" s="12"/>
      <c r="M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2.75" x14ac:dyDescent="0.2">
      <c r="A298" s="13"/>
      <c r="B298" s="13"/>
      <c r="C298" s="13"/>
      <c r="D298" s="11"/>
      <c r="H298" s="12"/>
      <c r="I298" s="11"/>
      <c r="K298" s="12"/>
      <c r="L298" s="12"/>
      <c r="M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2.75" x14ac:dyDescent="0.2">
      <c r="A299" s="13"/>
      <c r="B299" s="13"/>
      <c r="C299" s="13"/>
      <c r="D299" s="11"/>
      <c r="H299" s="12"/>
      <c r="I299" s="11"/>
      <c r="K299" s="12"/>
      <c r="L299" s="12"/>
      <c r="M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2.75" x14ac:dyDescent="0.2">
      <c r="A300" s="13"/>
      <c r="B300" s="13"/>
      <c r="C300" s="13"/>
      <c r="D300" s="11"/>
      <c r="H300" s="12"/>
      <c r="I300" s="11"/>
      <c r="K300" s="12"/>
      <c r="L300" s="12"/>
      <c r="M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2.75" x14ac:dyDescent="0.2">
      <c r="A301" s="13"/>
      <c r="B301" s="13"/>
      <c r="C301" s="13"/>
      <c r="D301" s="11"/>
      <c r="H301" s="12"/>
      <c r="I301" s="11"/>
      <c r="K301" s="12"/>
      <c r="L301" s="12"/>
      <c r="M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2.75" x14ac:dyDescent="0.2">
      <c r="A302" s="13"/>
      <c r="B302" s="13"/>
      <c r="C302" s="13"/>
      <c r="D302" s="11"/>
      <c r="H302" s="12"/>
      <c r="I302" s="11"/>
      <c r="K302" s="12"/>
      <c r="L302" s="12"/>
      <c r="M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2.75" x14ac:dyDescent="0.2">
      <c r="A303" s="13"/>
      <c r="B303" s="13"/>
      <c r="C303" s="13"/>
      <c r="D303" s="11"/>
      <c r="H303" s="12"/>
      <c r="I303" s="11"/>
      <c r="K303" s="12"/>
      <c r="L303" s="12"/>
      <c r="M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2.75" x14ac:dyDescent="0.2">
      <c r="A304" s="13"/>
      <c r="B304" s="13"/>
      <c r="C304" s="13"/>
      <c r="D304" s="11"/>
      <c r="H304" s="12"/>
      <c r="I304" s="11"/>
      <c r="K304" s="12"/>
      <c r="L304" s="12"/>
      <c r="M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2.75" x14ac:dyDescent="0.2">
      <c r="A305" s="13"/>
      <c r="B305" s="13"/>
      <c r="C305" s="13"/>
      <c r="D305" s="11"/>
      <c r="H305" s="12"/>
      <c r="I305" s="11"/>
      <c r="K305" s="12"/>
      <c r="L305" s="12"/>
      <c r="M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2.75" x14ac:dyDescent="0.2">
      <c r="A306" s="13"/>
      <c r="B306" s="13"/>
      <c r="C306" s="13"/>
      <c r="D306" s="11"/>
      <c r="H306" s="12"/>
      <c r="I306" s="11"/>
      <c r="K306" s="12"/>
      <c r="L306" s="12"/>
      <c r="M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2.75" x14ac:dyDescent="0.2">
      <c r="A307" s="13"/>
      <c r="B307" s="13"/>
      <c r="C307" s="13"/>
      <c r="D307" s="11"/>
      <c r="H307" s="12"/>
      <c r="I307" s="11"/>
      <c r="K307" s="12"/>
      <c r="L307" s="12"/>
      <c r="M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2.75" x14ac:dyDescent="0.2">
      <c r="A308" s="13"/>
      <c r="B308" s="13"/>
      <c r="C308" s="13"/>
      <c r="D308" s="11"/>
      <c r="H308" s="12"/>
      <c r="I308" s="11"/>
      <c r="K308" s="12"/>
      <c r="L308" s="12"/>
      <c r="M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2.75" x14ac:dyDescent="0.2">
      <c r="A309" s="13"/>
      <c r="B309" s="13"/>
      <c r="C309" s="13"/>
      <c r="D309" s="11"/>
      <c r="H309" s="12"/>
      <c r="I309" s="11"/>
      <c r="K309" s="12"/>
      <c r="L309" s="12"/>
      <c r="M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2.75" x14ac:dyDescent="0.2">
      <c r="A310" s="13"/>
      <c r="B310" s="13"/>
      <c r="C310" s="13"/>
      <c r="D310" s="11"/>
      <c r="H310" s="12"/>
      <c r="I310" s="11"/>
      <c r="K310" s="12"/>
      <c r="L310" s="12"/>
      <c r="M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2.75" x14ac:dyDescent="0.2">
      <c r="A311" s="13"/>
      <c r="B311" s="13"/>
      <c r="C311" s="13"/>
      <c r="D311" s="11"/>
      <c r="H311" s="12"/>
      <c r="I311" s="11"/>
      <c r="K311" s="12"/>
      <c r="L311" s="12"/>
      <c r="M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2.75" x14ac:dyDescent="0.2">
      <c r="A312" s="13"/>
      <c r="B312" s="13"/>
      <c r="C312" s="13"/>
      <c r="D312" s="11"/>
      <c r="H312" s="12"/>
      <c r="I312" s="11"/>
      <c r="K312" s="12"/>
      <c r="L312" s="12"/>
      <c r="M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2.75" x14ac:dyDescent="0.2">
      <c r="A313" s="13"/>
      <c r="B313" s="13"/>
      <c r="C313" s="13"/>
      <c r="D313" s="11"/>
      <c r="H313" s="12"/>
      <c r="I313" s="11"/>
      <c r="K313" s="12"/>
      <c r="L313" s="12"/>
      <c r="M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2.75" x14ac:dyDescent="0.2">
      <c r="A314" s="13"/>
      <c r="B314" s="13"/>
      <c r="C314" s="13"/>
      <c r="D314" s="11"/>
      <c r="H314" s="12"/>
      <c r="I314" s="11"/>
      <c r="K314" s="12"/>
      <c r="L314" s="12"/>
      <c r="M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2.75" x14ac:dyDescent="0.2">
      <c r="A315" s="13"/>
      <c r="B315" s="13"/>
      <c r="C315" s="13"/>
      <c r="D315" s="11"/>
      <c r="H315" s="12"/>
      <c r="I315" s="11"/>
      <c r="K315" s="12"/>
      <c r="L315" s="12"/>
      <c r="M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2.75" x14ac:dyDescent="0.2">
      <c r="A316" s="13"/>
      <c r="B316" s="13"/>
      <c r="C316" s="13"/>
      <c r="D316" s="11"/>
      <c r="H316" s="12"/>
      <c r="I316" s="11"/>
      <c r="K316" s="12"/>
      <c r="L316" s="12"/>
      <c r="M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2.75" x14ac:dyDescent="0.2">
      <c r="A317" s="13"/>
      <c r="B317" s="13"/>
      <c r="C317" s="13"/>
      <c r="D317" s="11"/>
      <c r="H317" s="12"/>
      <c r="I317" s="11"/>
      <c r="K317" s="12"/>
      <c r="L317" s="12"/>
      <c r="M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2.75" x14ac:dyDescent="0.2">
      <c r="A318" s="13"/>
      <c r="B318" s="13"/>
      <c r="C318" s="13"/>
      <c r="D318" s="11"/>
      <c r="H318" s="12"/>
      <c r="I318" s="11"/>
      <c r="K318" s="12"/>
      <c r="L318" s="12"/>
      <c r="M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2.75" x14ac:dyDescent="0.2">
      <c r="A319" s="13"/>
      <c r="B319" s="13"/>
      <c r="C319" s="13"/>
      <c r="D319" s="11"/>
      <c r="H319" s="12"/>
      <c r="I319" s="11"/>
      <c r="K319" s="12"/>
      <c r="L319" s="12"/>
      <c r="M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2.75" x14ac:dyDescent="0.2">
      <c r="A320" s="13"/>
      <c r="B320" s="13"/>
      <c r="C320" s="13"/>
      <c r="D320" s="11"/>
      <c r="H320" s="12"/>
      <c r="I320" s="11"/>
      <c r="K320" s="12"/>
      <c r="L320" s="12"/>
      <c r="M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2.75" x14ac:dyDescent="0.2">
      <c r="A321" s="13"/>
      <c r="B321" s="13"/>
      <c r="C321" s="13"/>
      <c r="D321" s="11"/>
      <c r="H321" s="12"/>
      <c r="I321" s="11"/>
      <c r="K321" s="12"/>
      <c r="L321" s="12"/>
      <c r="M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2.75" x14ac:dyDescent="0.2">
      <c r="A322" s="13"/>
      <c r="B322" s="13"/>
      <c r="C322" s="13"/>
      <c r="D322" s="11"/>
      <c r="H322" s="12"/>
      <c r="I322" s="11"/>
      <c r="K322" s="12"/>
      <c r="L322" s="12"/>
      <c r="M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2.75" x14ac:dyDescent="0.2">
      <c r="A323" s="13"/>
      <c r="B323" s="13"/>
      <c r="C323" s="13"/>
      <c r="D323" s="11"/>
      <c r="H323" s="12"/>
      <c r="I323" s="11"/>
      <c r="K323" s="12"/>
      <c r="L323" s="12"/>
      <c r="M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2.75" x14ac:dyDescent="0.2">
      <c r="A324" s="13"/>
      <c r="B324" s="13"/>
      <c r="C324" s="13"/>
      <c r="D324" s="11"/>
      <c r="H324" s="12"/>
      <c r="I324" s="11"/>
      <c r="K324" s="12"/>
      <c r="L324" s="12"/>
      <c r="M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2.75" x14ac:dyDescent="0.2">
      <c r="A325" s="13"/>
      <c r="B325" s="13"/>
      <c r="C325" s="13"/>
      <c r="D325" s="11"/>
      <c r="H325" s="12"/>
      <c r="I325" s="11"/>
      <c r="K325" s="12"/>
      <c r="L325" s="12"/>
      <c r="M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2.75" x14ac:dyDescent="0.2">
      <c r="A326" s="13"/>
      <c r="B326" s="13"/>
      <c r="C326" s="13"/>
      <c r="D326" s="11"/>
      <c r="H326" s="12"/>
      <c r="I326" s="11"/>
      <c r="K326" s="12"/>
      <c r="L326" s="12"/>
      <c r="M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2.75" x14ac:dyDescent="0.2">
      <c r="A327" s="13"/>
      <c r="B327" s="13"/>
      <c r="C327" s="13"/>
      <c r="D327" s="11"/>
      <c r="H327" s="12"/>
      <c r="I327" s="11"/>
      <c r="K327" s="12"/>
      <c r="L327" s="12"/>
      <c r="M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2.75" x14ac:dyDescent="0.2">
      <c r="A328" s="13"/>
      <c r="B328" s="13"/>
      <c r="C328" s="13"/>
      <c r="D328" s="11"/>
      <c r="H328" s="12"/>
      <c r="I328" s="11"/>
      <c r="K328" s="12"/>
      <c r="L328" s="12"/>
      <c r="M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2.75" x14ac:dyDescent="0.2">
      <c r="A329" s="13"/>
      <c r="B329" s="13"/>
      <c r="C329" s="13"/>
      <c r="D329" s="11"/>
      <c r="H329" s="12"/>
      <c r="I329" s="11"/>
      <c r="K329" s="12"/>
      <c r="L329" s="12"/>
      <c r="M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2.75" x14ac:dyDescent="0.2">
      <c r="A330" s="13"/>
      <c r="B330" s="13"/>
      <c r="C330" s="13"/>
      <c r="D330" s="11"/>
      <c r="H330" s="12"/>
      <c r="I330" s="11"/>
      <c r="K330" s="12"/>
      <c r="L330" s="12"/>
      <c r="M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2.75" x14ac:dyDescent="0.2">
      <c r="A331" s="13"/>
      <c r="B331" s="13"/>
      <c r="C331" s="13"/>
      <c r="D331" s="11"/>
      <c r="H331" s="12"/>
      <c r="I331" s="11"/>
      <c r="K331" s="12"/>
      <c r="L331" s="12"/>
      <c r="M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2.75" x14ac:dyDescent="0.2">
      <c r="A332" s="13"/>
      <c r="B332" s="13"/>
      <c r="C332" s="13"/>
      <c r="D332" s="11"/>
      <c r="H332" s="12"/>
      <c r="I332" s="11"/>
      <c r="K332" s="12"/>
      <c r="L332" s="12"/>
      <c r="M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2.75" x14ac:dyDescent="0.2">
      <c r="A333" s="13"/>
      <c r="B333" s="13"/>
      <c r="C333" s="13"/>
      <c r="D333" s="11"/>
      <c r="H333" s="12"/>
      <c r="I333" s="11"/>
      <c r="K333" s="12"/>
      <c r="L333" s="12"/>
      <c r="M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2.75" x14ac:dyDescent="0.2">
      <c r="A334" s="13"/>
      <c r="B334" s="13"/>
      <c r="C334" s="13"/>
      <c r="D334" s="11"/>
      <c r="H334" s="12"/>
      <c r="I334" s="11"/>
      <c r="K334" s="12"/>
      <c r="L334" s="12"/>
      <c r="M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2.75" x14ac:dyDescent="0.2">
      <c r="A335" s="13"/>
      <c r="B335" s="13"/>
      <c r="C335" s="13"/>
      <c r="D335" s="11"/>
      <c r="H335" s="12"/>
      <c r="I335" s="11"/>
      <c r="K335" s="12"/>
      <c r="L335" s="12"/>
      <c r="M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2.75" x14ac:dyDescent="0.2">
      <c r="A336" s="13"/>
      <c r="B336" s="13"/>
      <c r="C336" s="13"/>
      <c r="D336" s="11"/>
      <c r="H336" s="12"/>
      <c r="I336" s="11"/>
      <c r="K336" s="12"/>
      <c r="L336" s="12"/>
      <c r="M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2.75" x14ac:dyDescent="0.2">
      <c r="A337" s="13"/>
      <c r="B337" s="13"/>
      <c r="C337" s="13"/>
      <c r="D337" s="11"/>
      <c r="H337" s="12"/>
      <c r="I337" s="11"/>
      <c r="K337" s="12"/>
      <c r="L337" s="12"/>
      <c r="M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2.75" x14ac:dyDescent="0.2">
      <c r="A338" s="13"/>
      <c r="B338" s="13"/>
      <c r="C338" s="13"/>
      <c r="D338" s="11"/>
      <c r="H338" s="12"/>
      <c r="I338" s="11"/>
      <c r="K338" s="12"/>
      <c r="L338" s="12"/>
      <c r="M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2.75" x14ac:dyDescent="0.2">
      <c r="A339" s="13"/>
      <c r="B339" s="13"/>
      <c r="C339" s="13"/>
      <c r="D339" s="11"/>
      <c r="H339" s="12"/>
      <c r="I339" s="11"/>
      <c r="K339" s="12"/>
      <c r="L339" s="12"/>
      <c r="M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2.75" x14ac:dyDescent="0.2">
      <c r="A340" s="13"/>
      <c r="B340" s="13"/>
      <c r="C340" s="13"/>
      <c r="D340" s="11"/>
      <c r="H340" s="12"/>
      <c r="I340" s="11"/>
      <c r="K340" s="12"/>
      <c r="L340" s="12"/>
      <c r="M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2.75" x14ac:dyDescent="0.2">
      <c r="A341" s="13"/>
      <c r="B341" s="13"/>
      <c r="C341" s="13"/>
      <c r="D341" s="11"/>
      <c r="H341" s="12"/>
      <c r="I341" s="11"/>
      <c r="K341" s="12"/>
      <c r="L341" s="12"/>
      <c r="M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2.75" x14ac:dyDescent="0.2">
      <c r="A342" s="13"/>
      <c r="B342" s="13"/>
      <c r="C342" s="13"/>
      <c r="D342" s="11"/>
      <c r="H342" s="12"/>
      <c r="I342" s="11"/>
      <c r="K342" s="12"/>
      <c r="L342" s="12"/>
      <c r="M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2.75" x14ac:dyDescent="0.2">
      <c r="A343" s="13"/>
      <c r="B343" s="13"/>
      <c r="C343" s="13"/>
      <c r="D343" s="11"/>
      <c r="H343" s="12"/>
      <c r="I343" s="11"/>
      <c r="K343" s="12"/>
      <c r="L343" s="12"/>
      <c r="M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2.75" x14ac:dyDescent="0.2">
      <c r="A344" s="13"/>
      <c r="B344" s="13"/>
      <c r="C344" s="13"/>
      <c r="D344" s="11"/>
      <c r="H344" s="12"/>
      <c r="I344" s="11"/>
      <c r="K344" s="12"/>
      <c r="L344" s="12"/>
      <c r="M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2.75" x14ac:dyDescent="0.2">
      <c r="A345" s="13"/>
      <c r="B345" s="13"/>
      <c r="C345" s="13"/>
      <c r="D345" s="11"/>
      <c r="H345" s="12"/>
      <c r="I345" s="11"/>
      <c r="K345" s="12"/>
      <c r="L345" s="12"/>
      <c r="M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2.75" x14ac:dyDescent="0.2">
      <c r="A346" s="13"/>
      <c r="B346" s="13"/>
      <c r="C346" s="13"/>
      <c r="D346" s="11"/>
      <c r="H346" s="12"/>
      <c r="I346" s="11"/>
      <c r="K346" s="12"/>
      <c r="L346" s="12"/>
      <c r="M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2.75" x14ac:dyDescent="0.2">
      <c r="A347" s="13"/>
      <c r="B347" s="13"/>
      <c r="C347" s="13"/>
      <c r="D347" s="11"/>
      <c r="H347" s="12"/>
      <c r="I347" s="11"/>
      <c r="K347" s="12"/>
      <c r="L347" s="12"/>
      <c r="M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2.75" x14ac:dyDescent="0.2">
      <c r="A348" s="13"/>
      <c r="B348" s="13"/>
      <c r="C348" s="13"/>
      <c r="D348" s="11"/>
      <c r="H348" s="12"/>
      <c r="I348" s="11"/>
      <c r="K348" s="12"/>
      <c r="L348" s="12"/>
      <c r="M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2.75" x14ac:dyDescent="0.2">
      <c r="A349" s="13"/>
      <c r="B349" s="13"/>
      <c r="C349" s="13"/>
      <c r="D349" s="11"/>
      <c r="H349" s="12"/>
      <c r="I349" s="11"/>
      <c r="K349" s="12"/>
      <c r="L349" s="12"/>
      <c r="M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2.75" x14ac:dyDescent="0.2">
      <c r="A350" s="13"/>
      <c r="B350" s="13"/>
      <c r="C350" s="13"/>
      <c r="D350" s="11"/>
      <c r="H350" s="12"/>
      <c r="I350" s="11"/>
      <c r="K350" s="12"/>
      <c r="L350" s="12"/>
      <c r="M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2.75" x14ac:dyDescent="0.2">
      <c r="A351" s="13"/>
      <c r="B351" s="13"/>
      <c r="C351" s="13"/>
      <c r="D351" s="11"/>
      <c r="H351" s="12"/>
      <c r="I351" s="11"/>
      <c r="K351" s="12"/>
      <c r="L351" s="12"/>
      <c r="M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2.75" x14ac:dyDescent="0.2">
      <c r="A352" s="13"/>
      <c r="B352" s="13"/>
      <c r="C352" s="13"/>
      <c r="D352" s="11"/>
      <c r="H352" s="12"/>
      <c r="I352" s="11"/>
      <c r="K352" s="12"/>
      <c r="L352" s="12"/>
      <c r="M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2.75" x14ac:dyDescent="0.2">
      <c r="A353" s="13"/>
      <c r="B353" s="13"/>
      <c r="C353" s="13"/>
      <c r="D353" s="11"/>
      <c r="H353" s="12"/>
      <c r="I353" s="11"/>
      <c r="K353" s="12"/>
      <c r="L353" s="12"/>
      <c r="M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2.75" x14ac:dyDescent="0.2">
      <c r="A354" s="13"/>
      <c r="B354" s="13"/>
      <c r="C354" s="13"/>
      <c r="D354" s="11"/>
      <c r="H354" s="12"/>
      <c r="I354" s="11"/>
      <c r="K354" s="12"/>
      <c r="L354" s="12"/>
      <c r="M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2.75" x14ac:dyDescent="0.2">
      <c r="A355" s="13"/>
      <c r="B355" s="13"/>
      <c r="C355" s="13"/>
      <c r="D355" s="11"/>
      <c r="H355" s="12"/>
      <c r="I355" s="11"/>
      <c r="K355" s="12"/>
      <c r="L355" s="12"/>
      <c r="M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2.75" x14ac:dyDescent="0.2">
      <c r="A356" s="13"/>
      <c r="B356" s="13"/>
      <c r="C356" s="13"/>
      <c r="D356" s="11"/>
      <c r="H356" s="12"/>
      <c r="I356" s="11"/>
      <c r="K356" s="12"/>
      <c r="L356" s="12"/>
      <c r="M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2.75" x14ac:dyDescent="0.2">
      <c r="A357" s="13"/>
      <c r="B357" s="13"/>
      <c r="C357" s="13"/>
      <c r="D357" s="11"/>
      <c r="H357" s="12"/>
      <c r="I357" s="11"/>
      <c r="K357" s="12"/>
      <c r="L357" s="12"/>
      <c r="M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2.75" x14ac:dyDescent="0.2">
      <c r="A358" s="13"/>
      <c r="B358" s="13"/>
      <c r="C358" s="13"/>
      <c r="D358" s="11"/>
      <c r="H358" s="12"/>
      <c r="I358" s="11"/>
      <c r="K358" s="12"/>
      <c r="L358" s="12"/>
      <c r="M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2.75" x14ac:dyDescent="0.2">
      <c r="A359" s="13"/>
      <c r="B359" s="13"/>
      <c r="C359" s="13"/>
      <c r="D359" s="11"/>
      <c r="H359" s="12"/>
      <c r="I359" s="11"/>
      <c r="K359" s="12"/>
      <c r="L359" s="12"/>
      <c r="M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2.75" x14ac:dyDescent="0.2">
      <c r="A360" s="13"/>
      <c r="B360" s="13"/>
      <c r="C360" s="13"/>
      <c r="D360" s="11"/>
      <c r="H360" s="12"/>
      <c r="I360" s="11"/>
      <c r="K360" s="12"/>
      <c r="L360" s="12"/>
      <c r="M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2.75" x14ac:dyDescent="0.2">
      <c r="A361" s="13"/>
      <c r="B361" s="13"/>
      <c r="C361" s="13"/>
      <c r="D361" s="11"/>
      <c r="H361" s="12"/>
      <c r="I361" s="11"/>
      <c r="K361" s="12"/>
      <c r="L361" s="12"/>
      <c r="M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2.75" x14ac:dyDescent="0.2">
      <c r="A362" s="13"/>
      <c r="B362" s="13"/>
      <c r="C362" s="13"/>
      <c r="D362" s="11"/>
      <c r="H362" s="12"/>
      <c r="I362" s="11"/>
      <c r="K362" s="12"/>
      <c r="L362" s="12"/>
      <c r="M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2.75" x14ac:dyDescent="0.2">
      <c r="A363" s="13"/>
      <c r="B363" s="13"/>
      <c r="C363" s="13"/>
      <c r="D363" s="11"/>
      <c r="H363" s="12"/>
      <c r="I363" s="11"/>
      <c r="K363" s="12"/>
      <c r="L363" s="12"/>
      <c r="M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2.75" x14ac:dyDescent="0.2">
      <c r="A364" s="13"/>
      <c r="B364" s="13"/>
      <c r="C364" s="13"/>
      <c r="D364" s="11"/>
      <c r="H364" s="12"/>
      <c r="I364" s="11"/>
      <c r="K364" s="12"/>
      <c r="L364" s="12"/>
      <c r="M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2.75" x14ac:dyDescent="0.2">
      <c r="A365" s="13"/>
      <c r="B365" s="13"/>
      <c r="C365" s="13"/>
      <c r="D365" s="11"/>
      <c r="H365" s="12"/>
      <c r="I365" s="11"/>
      <c r="K365" s="12"/>
      <c r="L365" s="12"/>
      <c r="M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2.75" x14ac:dyDescent="0.2">
      <c r="A366" s="13"/>
      <c r="B366" s="13"/>
      <c r="C366" s="13"/>
      <c r="D366" s="11"/>
      <c r="H366" s="12"/>
      <c r="I366" s="11"/>
      <c r="K366" s="12"/>
      <c r="L366" s="12"/>
      <c r="M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2.75" x14ac:dyDescent="0.2">
      <c r="A367" s="13"/>
      <c r="B367" s="13"/>
      <c r="C367" s="13"/>
      <c r="D367" s="11"/>
      <c r="H367" s="12"/>
      <c r="I367" s="11"/>
      <c r="K367" s="12"/>
      <c r="L367" s="12"/>
      <c r="M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2.75" x14ac:dyDescent="0.2">
      <c r="A368" s="13"/>
      <c r="B368" s="13"/>
      <c r="C368" s="13"/>
      <c r="D368" s="11"/>
      <c r="H368" s="12"/>
      <c r="I368" s="11"/>
      <c r="K368" s="12"/>
      <c r="L368" s="12"/>
      <c r="M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2.75" x14ac:dyDescent="0.2">
      <c r="A369" s="13"/>
      <c r="B369" s="13"/>
      <c r="C369" s="13"/>
      <c r="D369" s="11"/>
      <c r="H369" s="12"/>
      <c r="I369" s="11"/>
      <c r="K369" s="12"/>
      <c r="L369" s="12"/>
      <c r="M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2.75" x14ac:dyDescent="0.2">
      <c r="A370" s="13"/>
      <c r="B370" s="13"/>
      <c r="C370" s="13"/>
      <c r="D370" s="11"/>
      <c r="H370" s="12"/>
      <c r="I370" s="11"/>
      <c r="K370" s="12"/>
      <c r="L370" s="12"/>
      <c r="M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2.75" x14ac:dyDescent="0.2">
      <c r="A371" s="13"/>
      <c r="B371" s="13"/>
      <c r="C371" s="13"/>
      <c r="D371" s="11"/>
      <c r="H371" s="12"/>
      <c r="I371" s="11"/>
      <c r="K371" s="12"/>
      <c r="L371" s="12"/>
      <c r="M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2.75" x14ac:dyDescent="0.2">
      <c r="A372" s="13"/>
      <c r="B372" s="13"/>
      <c r="C372" s="13"/>
      <c r="D372" s="11"/>
      <c r="H372" s="12"/>
      <c r="I372" s="11"/>
      <c r="K372" s="12"/>
      <c r="L372" s="12"/>
      <c r="M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2.75" x14ac:dyDescent="0.2">
      <c r="A373" s="13"/>
      <c r="B373" s="13"/>
      <c r="C373" s="13"/>
      <c r="D373" s="11"/>
      <c r="H373" s="12"/>
      <c r="I373" s="11"/>
      <c r="K373" s="12"/>
      <c r="L373" s="12"/>
      <c r="M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2.75" x14ac:dyDescent="0.2">
      <c r="A374" s="13"/>
      <c r="B374" s="13"/>
      <c r="C374" s="13"/>
      <c r="D374" s="11"/>
      <c r="H374" s="12"/>
      <c r="I374" s="11"/>
      <c r="K374" s="12"/>
      <c r="L374" s="12"/>
      <c r="M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2.75" x14ac:dyDescent="0.2">
      <c r="A375" s="13"/>
      <c r="B375" s="13"/>
      <c r="C375" s="13"/>
      <c r="D375" s="11"/>
      <c r="H375" s="12"/>
      <c r="I375" s="11"/>
      <c r="K375" s="12"/>
      <c r="L375" s="12"/>
      <c r="M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2.75" x14ac:dyDescent="0.2">
      <c r="A376" s="13"/>
      <c r="B376" s="13"/>
      <c r="C376" s="13"/>
      <c r="D376" s="11"/>
      <c r="H376" s="12"/>
      <c r="I376" s="11"/>
      <c r="K376" s="12"/>
      <c r="L376" s="12"/>
      <c r="M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2.75" x14ac:dyDescent="0.2">
      <c r="A377" s="13"/>
      <c r="B377" s="13"/>
      <c r="C377" s="13"/>
      <c r="D377" s="11"/>
      <c r="H377" s="12"/>
      <c r="I377" s="11"/>
      <c r="K377" s="12"/>
      <c r="L377" s="12"/>
      <c r="M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2.75" x14ac:dyDescent="0.2">
      <c r="A378" s="13"/>
      <c r="B378" s="13"/>
      <c r="C378" s="13"/>
      <c r="D378" s="11"/>
      <c r="H378" s="12"/>
      <c r="I378" s="11"/>
      <c r="K378" s="12"/>
      <c r="L378" s="12"/>
      <c r="M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2.75" x14ac:dyDescent="0.2">
      <c r="A379" s="13"/>
      <c r="B379" s="13"/>
      <c r="C379" s="13"/>
      <c r="D379" s="11"/>
      <c r="H379" s="12"/>
      <c r="I379" s="11"/>
      <c r="K379" s="12"/>
      <c r="L379" s="12"/>
      <c r="M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2.75" x14ac:dyDescent="0.2">
      <c r="A380" s="13"/>
      <c r="B380" s="13"/>
      <c r="C380" s="13"/>
      <c r="D380" s="11"/>
      <c r="H380" s="12"/>
      <c r="I380" s="11"/>
      <c r="K380" s="12"/>
      <c r="L380" s="12"/>
      <c r="M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2.75" x14ac:dyDescent="0.2">
      <c r="A381" s="13"/>
      <c r="B381" s="13"/>
      <c r="C381" s="13"/>
      <c r="D381" s="11"/>
      <c r="H381" s="12"/>
      <c r="I381" s="11"/>
      <c r="K381" s="12"/>
      <c r="L381" s="12"/>
      <c r="M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2.75" x14ac:dyDescent="0.2">
      <c r="A382" s="13"/>
      <c r="B382" s="13"/>
      <c r="C382" s="13"/>
      <c r="D382" s="11"/>
      <c r="H382" s="12"/>
      <c r="I382" s="11"/>
      <c r="K382" s="12"/>
      <c r="L382" s="12"/>
      <c r="M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2.75" x14ac:dyDescent="0.2">
      <c r="A383" s="13"/>
      <c r="B383" s="13"/>
      <c r="C383" s="13"/>
      <c r="D383" s="11"/>
      <c r="H383" s="12"/>
      <c r="I383" s="11"/>
      <c r="K383" s="12"/>
      <c r="L383" s="12"/>
      <c r="M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2.75" x14ac:dyDescent="0.2">
      <c r="A384" s="13"/>
      <c r="B384" s="13"/>
      <c r="C384" s="13"/>
      <c r="D384" s="11"/>
      <c r="H384" s="12"/>
      <c r="I384" s="11"/>
      <c r="K384" s="12"/>
      <c r="L384" s="12"/>
      <c r="M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2.75" x14ac:dyDescent="0.2">
      <c r="A385" s="13"/>
      <c r="B385" s="13"/>
      <c r="C385" s="13"/>
      <c r="D385" s="11"/>
      <c r="H385" s="12"/>
      <c r="I385" s="11"/>
      <c r="K385" s="12"/>
      <c r="L385" s="12"/>
      <c r="M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2.75" x14ac:dyDescent="0.2">
      <c r="A386" s="13"/>
      <c r="B386" s="13"/>
      <c r="C386" s="13"/>
      <c r="D386" s="11"/>
      <c r="H386" s="12"/>
      <c r="I386" s="11"/>
      <c r="K386" s="12"/>
      <c r="L386" s="12"/>
      <c r="M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2.75" x14ac:dyDescent="0.2">
      <c r="A387" s="13"/>
      <c r="B387" s="13"/>
      <c r="C387" s="13"/>
      <c r="D387" s="11"/>
      <c r="H387" s="12"/>
      <c r="I387" s="11"/>
      <c r="K387" s="12"/>
      <c r="L387" s="12"/>
      <c r="M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2.75" x14ac:dyDescent="0.2">
      <c r="A388" s="13"/>
      <c r="B388" s="13"/>
      <c r="C388" s="13"/>
      <c r="D388" s="11"/>
      <c r="H388" s="12"/>
      <c r="I388" s="11"/>
      <c r="K388" s="12"/>
      <c r="L388" s="12"/>
      <c r="M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2.75" x14ac:dyDescent="0.2">
      <c r="A389" s="13"/>
      <c r="B389" s="13"/>
      <c r="C389" s="13"/>
      <c r="D389" s="11"/>
      <c r="H389" s="12"/>
      <c r="I389" s="11"/>
      <c r="K389" s="12"/>
      <c r="L389" s="12"/>
      <c r="M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2.75" x14ac:dyDescent="0.2">
      <c r="A390" s="13"/>
      <c r="B390" s="13"/>
      <c r="C390" s="13"/>
      <c r="D390" s="11"/>
      <c r="H390" s="12"/>
      <c r="I390" s="11"/>
      <c r="K390" s="12"/>
      <c r="L390" s="12"/>
      <c r="M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2.75" x14ac:dyDescent="0.2">
      <c r="A391" s="13"/>
      <c r="B391" s="13"/>
      <c r="C391" s="13"/>
      <c r="D391" s="11"/>
      <c r="H391" s="12"/>
      <c r="I391" s="11"/>
      <c r="K391" s="12"/>
      <c r="L391" s="12"/>
      <c r="M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2.75" x14ac:dyDescent="0.2">
      <c r="A392" s="13"/>
      <c r="B392" s="13"/>
      <c r="C392" s="13"/>
      <c r="D392" s="11"/>
      <c r="H392" s="12"/>
      <c r="I392" s="11"/>
      <c r="K392" s="12"/>
      <c r="L392" s="12"/>
      <c r="M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2.75" x14ac:dyDescent="0.2">
      <c r="A393" s="13"/>
      <c r="B393" s="13"/>
      <c r="C393" s="13"/>
      <c r="D393" s="11"/>
      <c r="H393" s="12"/>
      <c r="I393" s="11"/>
      <c r="K393" s="12"/>
      <c r="L393" s="12"/>
      <c r="M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2.75" x14ac:dyDescent="0.2">
      <c r="A394" s="13"/>
      <c r="B394" s="13"/>
      <c r="C394" s="13"/>
      <c r="D394" s="11"/>
      <c r="H394" s="12"/>
      <c r="I394" s="11"/>
      <c r="K394" s="12"/>
      <c r="L394" s="12"/>
      <c r="M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2.75" x14ac:dyDescent="0.2">
      <c r="A395" s="13"/>
      <c r="B395" s="13"/>
      <c r="C395" s="13"/>
      <c r="D395" s="11"/>
      <c r="H395" s="12"/>
      <c r="I395" s="11"/>
      <c r="K395" s="12"/>
      <c r="L395" s="12"/>
      <c r="M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2.75" x14ac:dyDescent="0.2">
      <c r="A396" s="13"/>
      <c r="B396" s="13"/>
      <c r="C396" s="13"/>
      <c r="D396" s="11"/>
      <c r="H396" s="12"/>
      <c r="I396" s="11"/>
      <c r="K396" s="12"/>
      <c r="L396" s="12"/>
      <c r="M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2.75" x14ac:dyDescent="0.2">
      <c r="A397" s="13"/>
      <c r="B397" s="13"/>
      <c r="C397" s="13"/>
      <c r="D397" s="11"/>
      <c r="H397" s="12"/>
      <c r="I397" s="11"/>
      <c r="K397" s="12"/>
      <c r="L397" s="12"/>
      <c r="M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2.75" x14ac:dyDescent="0.2">
      <c r="A398" s="13"/>
      <c r="B398" s="13"/>
      <c r="C398" s="13"/>
      <c r="D398" s="11"/>
      <c r="H398" s="12"/>
      <c r="I398" s="11"/>
      <c r="K398" s="12"/>
      <c r="L398" s="12"/>
      <c r="M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2.75" x14ac:dyDescent="0.2">
      <c r="A399" s="13"/>
      <c r="B399" s="13"/>
      <c r="C399" s="13"/>
      <c r="D399" s="11"/>
      <c r="H399" s="12"/>
      <c r="I399" s="11"/>
      <c r="K399" s="12"/>
      <c r="L399" s="12"/>
      <c r="M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2.75" x14ac:dyDescent="0.2">
      <c r="A400" s="13"/>
      <c r="B400" s="13"/>
      <c r="C400" s="13"/>
      <c r="D400" s="11"/>
      <c r="H400" s="12"/>
      <c r="I400" s="11"/>
      <c r="K400" s="12"/>
      <c r="L400" s="12"/>
      <c r="M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2.75" x14ac:dyDescent="0.2">
      <c r="A401" s="13"/>
      <c r="B401" s="13"/>
      <c r="C401" s="13"/>
      <c r="D401" s="11"/>
      <c r="H401" s="12"/>
      <c r="I401" s="11"/>
      <c r="K401" s="12"/>
      <c r="L401" s="12"/>
      <c r="M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2.75" x14ac:dyDescent="0.2">
      <c r="A402" s="13"/>
      <c r="B402" s="13"/>
      <c r="C402" s="13"/>
      <c r="D402" s="11"/>
      <c r="H402" s="12"/>
      <c r="I402" s="11"/>
      <c r="K402" s="12"/>
      <c r="L402" s="12"/>
      <c r="M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2.75" x14ac:dyDescent="0.2">
      <c r="A403" s="13"/>
      <c r="B403" s="13"/>
      <c r="C403" s="13"/>
      <c r="D403" s="11"/>
      <c r="H403" s="12"/>
      <c r="I403" s="11"/>
      <c r="K403" s="12"/>
      <c r="L403" s="12"/>
      <c r="M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2.75" x14ac:dyDescent="0.2">
      <c r="A404" s="13"/>
      <c r="B404" s="13"/>
      <c r="C404" s="13"/>
      <c r="D404" s="11"/>
      <c r="H404" s="12"/>
      <c r="I404" s="11"/>
      <c r="K404" s="12"/>
      <c r="L404" s="12"/>
      <c r="M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2.75" x14ac:dyDescent="0.2">
      <c r="A405" s="13"/>
      <c r="B405" s="13"/>
      <c r="C405" s="13"/>
      <c r="D405" s="11"/>
      <c r="H405" s="12"/>
      <c r="I405" s="11"/>
      <c r="K405" s="12"/>
      <c r="L405" s="12"/>
      <c r="M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2.75" x14ac:dyDescent="0.2">
      <c r="A406" s="13"/>
      <c r="B406" s="13"/>
      <c r="C406" s="13"/>
      <c r="D406" s="11"/>
      <c r="H406" s="12"/>
      <c r="I406" s="11"/>
      <c r="K406" s="12"/>
      <c r="L406" s="12"/>
      <c r="M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2.75" x14ac:dyDescent="0.2">
      <c r="A407" s="13"/>
      <c r="B407" s="13"/>
      <c r="C407" s="13"/>
      <c r="D407" s="11"/>
      <c r="H407" s="12"/>
      <c r="I407" s="11"/>
      <c r="K407" s="12"/>
      <c r="L407" s="12"/>
      <c r="M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2.75" x14ac:dyDescent="0.2">
      <c r="A408" s="13"/>
      <c r="B408" s="13"/>
      <c r="C408" s="13"/>
      <c r="D408" s="11"/>
      <c r="H408" s="12"/>
      <c r="I408" s="11"/>
      <c r="K408" s="12"/>
      <c r="L408" s="12"/>
      <c r="M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2.75" x14ac:dyDescent="0.2">
      <c r="A409" s="13"/>
      <c r="B409" s="13"/>
      <c r="C409" s="13"/>
      <c r="D409" s="11"/>
      <c r="H409" s="12"/>
      <c r="I409" s="11"/>
      <c r="K409" s="12"/>
      <c r="L409" s="12"/>
      <c r="M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2.75" x14ac:dyDescent="0.2">
      <c r="A410" s="13"/>
      <c r="B410" s="13"/>
      <c r="C410" s="13"/>
      <c r="D410" s="11"/>
      <c r="H410" s="12"/>
      <c r="I410" s="11"/>
      <c r="K410" s="12"/>
      <c r="L410" s="12"/>
      <c r="M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2.75" x14ac:dyDescent="0.2">
      <c r="A411" s="13"/>
      <c r="B411" s="13"/>
      <c r="C411" s="13"/>
      <c r="D411" s="11"/>
      <c r="H411" s="12"/>
      <c r="I411" s="11"/>
      <c r="K411" s="12"/>
      <c r="L411" s="12"/>
      <c r="M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2.75" x14ac:dyDescent="0.2">
      <c r="A412" s="13"/>
      <c r="B412" s="13"/>
      <c r="C412" s="13"/>
      <c r="D412" s="11"/>
      <c r="H412" s="12"/>
      <c r="I412" s="11"/>
      <c r="K412" s="12"/>
      <c r="L412" s="12"/>
      <c r="M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2.75" x14ac:dyDescent="0.2">
      <c r="A413" s="13"/>
      <c r="B413" s="13"/>
      <c r="C413" s="13"/>
      <c r="D413" s="11"/>
      <c r="H413" s="12"/>
      <c r="I413" s="11"/>
      <c r="K413" s="12"/>
      <c r="L413" s="12"/>
      <c r="M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2.75" x14ac:dyDescent="0.2">
      <c r="A414" s="13"/>
      <c r="B414" s="13"/>
      <c r="C414" s="13"/>
      <c r="D414" s="11"/>
      <c r="H414" s="12"/>
      <c r="I414" s="11"/>
      <c r="K414" s="12"/>
      <c r="L414" s="12"/>
      <c r="M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2.75" x14ac:dyDescent="0.2">
      <c r="A415" s="13"/>
      <c r="B415" s="13"/>
      <c r="C415" s="13"/>
      <c r="D415" s="11"/>
      <c r="H415" s="12"/>
      <c r="I415" s="11"/>
      <c r="K415" s="12"/>
      <c r="L415" s="12"/>
      <c r="M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2.75" x14ac:dyDescent="0.2">
      <c r="A416" s="13"/>
      <c r="B416" s="13"/>
      <c r="C416" s="13"/>
      <c r="D416" s="11"/>
      <c r="H416" s="12"/>
      <c r="I416" s="11"/>
      <c r="K416" s="12"/>
      <c r="L416" s="12"/>
      <c r="M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2.75" x14ac:dyDescent="0.2">
      <c r="A417" s="13"/>
      <c r="B417" s="13"/>
      <c r="C417" s="13"/>
      <c r="D417" s="11"/>
      <c r="H417" s="12"/>
      <c r="I417" s="11"/>
      <c r="K417" s="12"/>
      <c r="L417" s="12"/>
      <c r="M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2.75" x14ac:dyDescent="0.2">
      <c r="A418" s="13"/>
      <c r="B418" s="13"/>
      <c r="C418" s="13"/>
      <c r="D418" s="11"/>
      <c r="H418" s="12"/>
      <c r="I418" s="11"/>
      <c r="K418" s="12"/>
      <c r="L418" s="12"/>
      <c r="M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2.75" x14ac:dyDescent="0.2">
      <c r="A419" s="13"/>
      <c r="B419" s="13"/>
      <c r="C419" s="13"/>
      <c r="D419" s="11"/>
      <c r="H419" s="12"/>
      <c r="I419" s="11"/>
      <c r="K419" s="12"/>
      <c r="L419" s="12"/>
      <c r="M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2.75" x14ac:dyDescent="0.2">
      <c r="A420" s="13"/>
      <c r="B420" s="13"/>
      <c r="C420" s="13"/>
      <c r="D420" s="11"/>
      <c r="H420" s="12"/>
      <c r="I420" s="11"/>
      <c r="K420" s="12"/>
      <c r="L420" s="12"/>
      <c r="M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2.75" x14ac:dyDescent="0.2">
      <c r="A421" s="13"/>
      <c r="B421" s="13"/>
      <c r="C421" s="13"/>
      <c r="D421" s="11"/>
      <c r="H421" s="12"/>
      <c r="I421" s="11"/>
      <c r="K421" s="12"/>
      <c r="L421" s="12"/>
      <c r="M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2.75" x14ac:dyDescent="0.2">
      <c r="A422" s="13"/>
      <c r="B422" s="13"/>
      <c r="C422" s="13"/>
      <c r="D422" s="11"/>
      <c r="H422" s="12"/>
      <c r="I422" s="11"/>
      <c r="K422" s="12"/>
      <c r="L422" s="12"/>
      <c r="M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2.75" x14ac:dyDescent="0.2">
      <c r="A423" s="13"/>
      <c r="B423" s="13"/>
      <c r="C423" s="13"/>
      <c r="D423" s="11"/>
      <c r="H423" s="12"/>
      <c r="I423" s="11"/>
      <c r="K423" s="12"/>
      <c r="L423" s="12"/>
      <c r="M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2.75" x14ac:dyDescent="0.2">
      <c r="A424" s="13"/>
      <c r="B424" s="13"/>
      <c r="C424" s="13"/>
      <c r="D424" s="11"/>
      <c r="H424" s="12"/>
      <c r="I424" s="11"/>
      <c r="K424" s="12"/>
      <c r="L424" s="12"/>
      <c r="M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2.75" x14ac:dyDescent="0.2">
      <c r="A425" s="13"/>
      <c r="B425" s="13"/>
      <c r="C425" s="13"/>
      <c r="D425" s="11"/>
      <c r="H425" s="12"/>
      <c r="I425" s="11"/>
      <c r="K425" s="12"/>
      <c r="L425" s="12"/>
      <c r="M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2.75" x14ac:dyDescent="0.2">
      <c r="A426" s="13"/>
      <c r="B426" s="13"/>
      <c r="C426" s="13"/>
      <c r="D426" s="11"/>
      <c r="H426" s="12"/>
      <c r="I426" s="11"/>
      <c r="K426" s="12"/>
      <c r="L426" s="12"/>
      <c r="M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2.75" x14ac:dyDescent="0.2">
      <c r="A427" s="13"/>
      <c r="B427" s="13"/>
      <c r="C427" s="13"/>
      <c r="D427" s="11"/>
      <c r="H427" s="12"/>
      <c r="I427" s="11"/>
      <c r="K427" s="12"/>
      <c r="L427" s="12"/>
      <c r="M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2.75" x14ac:dyDescent="0.2">
      <c r="A428" s="13"/>
      <c r="B428" s="13"/>
      <c r="C428" s="13"/>
      <c r="D428" s="11"/>
      <c r="H428" s="12"/>
      <c r="I428" s="11"/>
      <c r="K428" s="12"/>
      <c r="L428" s="12"/>
      <c r="M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2.75" x14ac:dyDescent="0.2">
      <c r="A429" s="13"/>
      <c r="B429" s="13"/>
      <c r="C429" s="13"/>
      <c r="D429" s="11"/>
      <c r="H429" s="12"/>
      <c r="I429" s="11"/>
      <c r="K429" s="12"/>
      <c r="L429" s="12"/>
      <c r="M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2.75" x14ac:dyDescent="0.2">
      <c r="A430" s="13"/>
      <c r="B430" s="13"/>
      <c r="C430" s="13"/>
      <c r="D430" s="11"/>
      <c r="H430" s="12"/>
      <c r="I430" s="11"/>
      <c r="K430" s="12"/>
      <c r="L430" s="12"/>
      <c r="M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2.75" x14ac:dyDescent="0.2">
      <c r="A431" s="13"/>
      <c r="B431" s="13"/>
      <c r="C431" s="13"/>
      <c r="D431" s="11"/>
      <c r="H431" s="12"/>
      <c r="I431" s="11"/>
      <c r="K431" s="12"/>
      <c r="L431" s="12"/>
      <c r="M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2.75" x14ac:dyDescent="0.2">
      <c r="A432" s="13"/>
      <c r="B432" s="13"/>
      <c r="C432" s="13"/>
      <c r="D432" s="11"/>
      <c r="H432" s="12"/>
      <c r="I432" s="11"/>
      <c r="K432" s="12"/>
      <c r="L432" s="12"/>
      <c r="M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2.75" x14ac:dyDescent="0.2">
      <c r="A433" s="13"/>
      <c r="B433" s="13"/>
      <c r="C433" s="13"/>
      <c r="D433" s="11"/>
      <c r="H433" s="12"/>
      <c r="I433" s="11"/>
      <c r="K433" s="12"/>
      <c r="L433" s="12"/>
      <c r="M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2.75" x14ac:dyDescent="0.2">
      <c r="A434" s="13"/>
      <c r="B434" s="13"/>
      <c r="C434" s="13"/>
      <c r="D434" s="11"/>
      <c r="H434" s="12"/>
      <c r="I434" s="11"/>
      <c r="K434" s="12"/>
      <c r="L434" s="12"/>
      <c r="M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2.75" x14ac:dyDescent="0.2">
      <c r="A435" s="13"/>
      <c r="B435" s="13"/>
      <c r="C435" s="13"/>
      <c r="D435" s="11"/>
      <c r="H435" s="12"/>
      <c r="I435" s="11"/>
      <c r="K435" s="12"/>
      <c r="L435" s="12"/>
      <c r="M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2.75" x14ac:dyDescent="0.2">
      <c r="A436" s="13"/>
      <c r="B436" s="13"/>
      <c r="C436" s="13"/>
      <c r="D436" s="11"/>
      <c r="H436" s="12"/>
      <c r="I436" s="11"/>
      <c r="K436" s="12"/>
      <c r="L436" s="12"/>
      <c r="M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2.75" x14ac:dyDescent="0.2">
      <c r="A437" s="13"/>
      <c r="B437" s="13"/>
      <c r="C437" s="13"/>
      <c r="D437" s="11"/>
      <c r="H437" s="12"/>
      <c r="I437" s="11"/>
      <c r="K437" s="12"/>
      <c r="L437" s="12"/>
      <c r="M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2.75" x14ac:dyDescent="0.2">
      <c r="A438" s="13"/>
      <c r="B438" s="13"/>
      <c r="C438" s="13"/>
      <c r="D438" s="11"/>
      <c r="H438" s="12"/>
      <c r="I438" s="11"/>
      <c r="K438" s="12"/>
      <c r="L438" s="12"/>
      <c r="M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2.75" x14ac:dyDescent="0.2">
      <c r="A439" s="13"/>
      <c r="B439" s="13"/>
      <c r="C439" s="13"/>
      <c r="D439" s="11"/>
      <c r="H439" s="12"/>
      <c r="I439" s="11"/>
      <c r="K439" s="12"/>
      <c r="L439" s="12"/>
      <c r="M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2.75" x14ac:dyDescent="0.2">
      <c r="A440" s="13"/>
      <c r="B440" s="13"/>
      <c r="C440" s="13"/>
      <c r="D440" s="11"/>
      <c r="H440" s="12"/>
      <c r="I440" s="11"/>
      <c r="K440" s="12"/>
      <c r="L440" s="12"/>
      <c r="M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2.75" x14ac:dyDescent="0.2">
      <c r="A441" s="13"/>
      <c r="B441" s="13"/>
      <c r="C441" s="13"/>
      <c r="D441" s="11"/>
      <c r="H441" s="12"/>
      <c r="I441" s="11"/>
      <c r="K441" s="12"/>
      <c r="L441" s="12"/>
      <c r="M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2.75" x14ac:dyDescent="0.2">
      <c r="A442" s="13"/>
      <c r="B442" s="13"/>
      <c r="C442" s="13"/>
      <c r="D442" s="11"/>
      <c r="H442" s="12"/>
      <c r="I442" s="11"/>
      <c r="K442" s="12"/>
      <c r="L442" s="12"/>
      <c r="M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2.75" x14ac:dyDescent="0.2">
      <c r="A443" s="13"/>
      <c r="B443" s="13"/>
      <c r="C443" s="13"/>
      <c r="D443" s="11"/>
      <c r="H443" s="12"/>
      <c r="I443" s="11"/>
      <c r="K443" s="12"/>
      <c r="L443" s="12"/>
      <c r="M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2.75" x14ac:dyDescent="0.2">
      <c r="A444" s="13"/>
      <c r="B444" s="13"/>
      <c r="C444" s="13"/>
      <c r="D444" s="11"/>
      <c r="H444" s="12"/>
      <c r="I444" s="11"/>
      <c r="K444" s="12"/>
      <c r="L444" s="12"/>
      <c r="M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2.75" x14ac:dyDescent="0.2">
      <c r="A445" s="13"/>
      <c r="B445" s="13"/>
      <c r="C445" s="13"/>
      <c r="D445" s="11"/>
      <c r="H445" s="12"/>
      <c r="I445" s="11"/>
      <c r="K445" s="12"/>
      <c r="L445" s="12"/>
      <c r="M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2.75" x14ac:dyDescent="0.2">
      <c r="A446" s="13"/>
      <c r="B446" s="13"/>
      <c r="C446" s="13"/>
      <c r="D446" s="11"/>
      <c r="H446" s="12"/>
      <c r="I446" s="11"/>
      <c r="K446" s="12"/>
      <c r="L446" s="12"/>
      <c r="M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2.75" x14ac:dyDescent="0.2">
      <c r="A447" s="13"/>
      <c r="B447" s="13"/>
      <c r="C447" s="13"/>
      <c r="D447" s="11"/>
      <c r="H447" s="12"/>
      <c r="I447" s="11"/>
      <c r="K447" s="12"/>
      <c r="L447" s="12"/>
      <c r="M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2.75" x14ac:dyDescent="0.2">
      <c r="A448" s="13"/>
      <c r="B448" s="13"/>
      <c r="C448" s="13"/>
      <c r="D448" s="11"/>
      <c r="H448" s="12"/>
      <c r="I448" s="11"/>
      <c r="K448" s="12"/>
      <c r="L448" s="12"/>
      <c r="M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2.75" x14ac:dyDescent="0.2">
      <c r="A449" s="13"/>
      <c r="B449" s="13"/>
      <c r="C449" s="13"/>
      <c r="D449" s="11"/>
      <c r="H449" s="12"/>
      <c r="I449" s="11"/>
      <c r="K449" s="12"/>
      <c r="L449" s="12"/>
      <c r="M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2.75" x14ac:dyDescent="0.2">
      <c r="A450" s="13"/>
      <c r="B450" s="13"/>
      <c r="C450" s="13"/>
      <c r="D450" s="11"/>
      <c r="H450" s="12"/>
      <c r="I450" s="11"/>
      <c r="K450" s="12"/>
      <c r="L450" s="12"/>
      <c r="M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2.75" x14ac:dyDescent="0.2">
      <c r="A451" s="13"/>
      <c r="B451" s="13"/>
      <c r="C451" s="13"/>
      <c r="D451" s="11"/>
      <c r="H451" s="12"/>
      <c r="I451" s="11"/>
      <c r="K451" s="12"/>
      <c r="L451" s="12"/>
      <c r="M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2.75" x14ac:dyDescent="0.2">
      <c r="A452" s="13"/>
      <c r="B452" s="13"/>
      <c r="C452" s="13"/>
      <c r="D452" s="11"/>
      <c r="H452" s="12"/>
      <c r="I452" s="11"/>
      <c r="K452" s="12"/>
      <c r="L452" s="12"/>
      <c r="M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2.75" x14ac:dyDescent="0.2">
      <c r="A453" s="13"/>
      <c r="B453" s="13"/>
      <c r="C453" s="13"/>
      <c r="D453" s="11"/>
      <c r="H453" s="12"/>
      <c r="I453" s="11"/>
      <c r="K453" s="12"/>
      <c r="L453" s="12"/>
      <c r="M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2.75" x14ac:dyDescent="0.2">
      <c r="A454" s="13"/>
      <c r="B454" s="13"/>
      <c r="C454" s="13"/>
      <c r="D454" s="11"/>
      <c r="H454" s="12"/>
      <c r="I454" s="11"/>
      <c r="K454" s="12"/>
      <c r="L454" s="12"/>
      <c r="M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2.75" x14ac:dyDescent="0.2">
      <c r="A455" s="13"/>
      <c r="B455" s="13"/>
      <c r="C455" s="13"/>
      <c r="D455" s="11"/>
      <c r="H455" s="12"/>
      <c r="I455" s="11"/>
      <c r="K455" s="12"/>
      <c r="L455" s="12"/>
      <c r="M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2.75" x14ac:dyDescent="0.2">
      <c r="A456" s="13"/>
      <c r="B456" s="13"/>
      <c r="C456" s="13"/>
      <c r="D456" s="11"/>
      <c r="H456" s="12"/>
      <c r="I456" s="11"/>
      <c r="K456" s="12"/>
      <c r="L456" s="12"/>
      <c r="M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2.75" x14ac:dyDescent="0.2">
      <c r="A457" s="13"/>
      <c r="B457" s="13"/>
      <c r="C457" s="13"/>
      <c r="D457" s="11"/>
      <c r="H457" s="12"/>
      <c r="I457" s="11"/>
      <c r="K457" s="12"/>
      <c r="L457" s="12"/>
      <c r="M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2.75" x14ac:dyDescent="0.2">
      <c r="A458" s="13"/>
      <c r="B458" s="13"/>
      <c r="C458" s="13"/>
      <c r="D458" s="11"/>
      <c r="H458" s="12"/>
      <c r="I458" s="11"/>
      <c r="K458" s="12"/>
      <c r="L458" s="12"/>
      <c r="M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2.75" x14ac:dyDescent="0.2">
      <c r="A459" s="13"/>
      <c r="B459" s="13"/>
      <c r="C459" s="13"/>
      <c r="D459" s="11"/>
      <c r="H459" s="12"/>
      <c r="I459" s="11"/>
      <c r="K459" s="12"/>
      <c r="L459" s="12"/>
      <c r="M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2.75" x14ac:dyDescent="0.2">
      <c r="A460" s="13"/>
      <c r="B460" s="13"/>
      <c r="C460" s="13"/>
      <c r="D460" s="11"/>
      <c r="H460" s="12"/>
      <c r="I460" s="11"/>
      <c r="K460" s="12"/>
      <c r="L460" s="12"/>
      <c r="M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2.75" x14ac:dyDescent="0.2">
      <c r="A461" s="13"/>
      <c r="B461" s="13"/>
      <c r="C461" s="13"/>
      <c r="D461" s="11"/>
      <c r="H461" s="12"/>
      <c r="I461" s="11"/>
      <c r="K461" s="12"/>
      <c r="L461" s="12"/>
      <c r="M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2.75" x14ac:dyDescent="0.2">
      <c r="A462" s="13"/>
      <c r="B462" s="13"/>
      <c r="C462" s="13"/>
      <c r="D462" s="11"/>
      <c r="H462" s="12"/>
      <c r="I462" s="11"/>
      <c r="K462" s="12"/>
      <c r="L462" s="12"/>
      <c r="M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2.75" x14ac:dyDescent="0.2">
      <c r="A463" s="13"/>
      <c r="B463" s="13"/>
      <c r="C463" s="13"/>
      <c r="D463" s="11"/>
      <c r="H463" s="12"/>
      <c r="I463" s="11"/>
      <c r="K463" s="12"/>
      <c r="L463" s="12"/>
      <c r="M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2.75" x14ac:dyDescent="0.2">
      <c r="A464" s="13"/>
      <c r="B464" s="13"/>
      <c r="C464" s="13"/>
      <c r="D464" s="11"/>
      <c r="H464" s="12"/>
      <c r="I464" s="11"/>
      <c r="K464" s="12"/>
      <c r="L464" s="12"/>
      <c r="M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2.75" x14ac:dyDescent="0.2">
      <c r="A465" s="13"/>
      <c r="B465" s="13"/>
      <c r="C465" s="13"/>
      <c r="D465" s="11"/>
      <c r="H465" s="12"/>
      <c r="I465" s="11"/>
      <c r="K465" s="12"/>
      <c r="L465" s="12"/>
      <c r="M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2.75" x14ac:dyDescent="0.2">
      <c r="A466" s="13"/>
      <c r="B466" s="13"/>
      <c r="C466" s="13"/>
      <c r="D466" s="11"/>
      <c r="H466" s="12"/>
      <c r="I466" s="11"/>
      <c r="K466" s="12"/>
      <c r="L466" s="12"/>
      <c r="M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2.75" x14ac:dyDescent="0.2">
      <c r="A467" s="13"/>
      <c r="B467" s="13"/>
      <c r="C467" s="13"/>
      <c r="D467" s="11"/>
      <c r="H467" s="12"/>
      <c r="I467" s="11"/>
      <c r="K467" s="12"/>
      <c r="L467" s="12"/>
      <c r="M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2.75" x14ac:dyDescent="0.2">
      <c r="A468" s="13"/>
      <c r="B468" s="13"/>
      <c r="C468" s="13"/>
      <c r="D468" s="11"/>
      <c r="H468" s="12"/>
      <c r="I468" s="11"/>
      <c r="K468" s="12"/>
      <c r="L468" s="12"/>
      <c r="M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2.75" x14ac:dyDescent="0.2">
      <c r="A469" s="13"/>
      <c r="B469" s="13"/>
      <c r="C469" s="13"/>
      <c r="D469" s="11"/>
      <c r="H469" s="12"/>
      <c r="I469" s="11"/>
      <c r="K469" s="12"/>
      <c r="L469" s="12"/>
      <c r="M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2.75" x14ac:dyDescent="0.2">
      <c r="A470" s="13"/>
      <c r="B470" s="13"/>
      <c r="C470" s="13"/>
      <c r="D470" s="11"/>
      <c r="H470" s="12"/>
      <c r="I470" s="11"/>
      <c r="K470" s="12"/>
      <c r="L470" s="12"/>
      <c r="M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2.75" x14ac:dyDescent="0.2">
      <c r="A471" s="13"/>
      <c r="B471" s="13"/>
      <c r="C471" s="13"/>
      <c r="D471" s="11"/>
      <c r="H471" s="12"/>
      <c r="I471" s="11"/>
      <c r="K471" s="12"/>
      <c r="L471" s="12"/>
      <c r="M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2.75" x14ac:dyDescent="0.2">
      <c r="A472" s="13"/>
      <c r="B472" s="13"/>
      <c r="C472" s="13"/>
      <c r="D472" s="11"/>
      <c r="H472" s="12"/>
      <c r="I472" s="11"/>
      <c r="K472" s="12"/>
      <c r="L472" s="12"/>
      <c r="M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2.75" x14ac:dyDescent="0.2">
      <c r="A473" s="13"/>
      <c r="B473" s="13"/>
      <c r="C473" s="13"/>
      <c r="D473" s="11"/>
      <c r="H473" s="12"/>
      <c r="I473" s="11"/>
      <c r="K473" s="12"/>
      <c r="L473" s="12"/>
      <c r="M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2.75" x14ac:dyDescent="0.2">
      <c r="A474" s="13"/>
      <c r="B474" s="13"/>
      <c r="C474" s="13"/>
      <c r="D474" s="11"/>
      <c r="H474" s="12"/>
      <c r="I474" s="11"/>
      <c r="K474" s="12"/>
      <c r="L474" s="12"/>
      <c r="M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2.75" x14ac:dyDescent="0.2">
      <c r="A475" s="13"/>
      <c r="B475" s="13"/>
      <c r="C475" s="13"/>
      <c r="D475" s="11"/>
      <c r="H475" s="12"/>
      <c r="I475" s="11"/>
      <c r="K475" s="12"/>
      <c r="L475" s="12"/>
      <c r="M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2.75" x14ac:dyDescent="0.2">
      <c r="A476" s="13"/>
      <c r="B476" s="13"/>
      <c r="C476" s="13"/>
      <c r="D476" s="11"/>
      <c r="H476" s="12"/>
      <c r="I476" s="11"/>
      <c r="K476" s="12"/>
      <c r="L476" s="12"/>
      <c r="M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2.75" x14ac:dyDescent="0.2">
      <c r="A477" s="13"/>
      <c r="B477" s="13"/>
      <c r="C477" s="13"/>
      <c r="D477" s="11"/>
      <c r="H477" s="12"/>
      <c r="I477" s="11"/>
      <c r="K477" s="12"/>
      <c r="L477" s="12"/>
      <c r="M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2.75" x14ac:dyDescent="0.2">
      <c r="A478" s="13"/>
      <c r="B478" s="13"/>
      <c r="C478" s="13"/>
      <c r="D478" s="11"/>
      <c r="H478" s="12"/>
      <c r="I478" s="11"/>
      <c r="K478" s="12"/>
      <c r="L478" s="12"/>
      <c r="M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2.75" x14ac:dyDescent="0.2">
      <c r="A479" s="13"/>
      <c r="B479" s="13"/>
      <c r="C479" s="13"/>
      <c r="D479" s="11"/>
      <c r="H479" s="12"/>
      <c r="I479" s="11"/>
      <c r="K479" s="12"/>
      <c r="L479" s="12"/>
      <c r="M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2.75" x14ac:dyDescent="0.2">
      <c r="A480" s="13"/>
      <c r="B480" s="13"/>
      <c r="C480" s="13"/>
      <c r="D480" s="11"/>
      <c r="H480" s="12"/>
      <c r="I480" s="11"/>
      <c r="K480" s="12"/>
      <c r="L480" s="12"/>
      <c r="M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2.75" x14ac:dyDescent="0.2">
      <c r="A481" s="13"/>
      <c r="B481" s="13"/>
      <c r="C481" s="13"/>
      <c r="D481" s="11"/>
      <c r="H481" s="12"/>
      <c r="I481" s="11"/>
      <c r="K481" s="12"/>
      <c r="L481" s="12"/>
      <c r="M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2.75" x14ac:dyDescent="0.2">
      <c r="A482" s="13"/>
      <c r="B482" s="13"/>
      <c r="C482" s="13"/>
      <c r="D482" s="11"/>
      <c r="H482" s="12"/>
      <c r="I482" s="11"/>
      <c r="K482" s="12"/>
      <c r="L482" s="12"/>
      <c r="M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2.75" x14ac:dyDescent="0.2">
      <c r="A483" s="13"/>
      <c r="B483" s="13"/>
      <c r="C483" s="13"/>
      <c r="D483" s="11"/>
      <c r="H483" s="12"/>
      <c r="I483" s="11"/>
      <c r="K483" s="12"/>
      <c r="L483" s="12"/>
      <c r="M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2.75" x14ac:dyDescent="0.2">
      <c r="A484" s="13"/>
      <c r="B484" s="13"/>
      <c r="C484" s="13"/>
      <c r="D484" s="11"/>
      <c r="H484" s="12"/>
      <c r="I484" s="11"/>
      <c r="K484" s="12"/>
      <c r="L484" s="12"/>
      <c r="M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2.75" x14ac:dyDescent="0.2">
      <c r="A485" s="13"/>
      <c r="B485" s="13"/>
      <c r="C485" s="13"/>
      <c r="D485" s="11"/>
      <c r="H485" s="12"/>
      <c r="I485" s="11"/>
      <c r="K485" s="12"/>
      <c r="L485" s="12"/>
      <c r="M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2.75" x14ac:dyDescent="0.2">
      <c r="A486" s="13"/>
      <c r="B486" s="13"/>
      <c r="C486" s="13"/>
      <c r="D486" s="11"/>
      <c r="H486" s="12"/>
      <c r="I486" s="11"/>
      <c r="K486" s="12"/>
      <c r="L486" s="12"/>
      <c r="M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2.75" x14ac:dyDescent="0.2">
      <c r="A487" s="13"/>
      <c r="B487" s="13"/>
      <c r="C487" s="13"/>
      <c r="D487" s="11"/>
      <c r="H487" s="12"/>
      <c r="I487" s="11"/>
      <c r="K487" s="12"/>
      <c r="L487" s="12"/>
      <c r="M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2.75" x14ac:dyDescent="0.2">
      <c r="A488" s="13"/>
      <c r="B488" s="13"/>
      <c r="C488" s="13"/>
      <c r="D488" s="11"/>
      <c r="H488" s="12"/>
      <c r="I488" s="11"/>
      <c r="K488" s="12"/>
      <c r="L488" s="12"/>
      <c r="M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2.75" x14ac:dyDescent="0.2">
      <c r="A489" s="13"/>
      <c r="B489" s="13"/>
      <c r="C489" s="13"/>
      <c r="D489" s="11"/>
      <c r="H489" s="12"/>
      <c r="I489" s="11"/>
      <c r="K489" s="12"/>
      <c r="L489" s="12"/>
      <c r="M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2.75" x14ac:dyDescent="0.2">
      <c r="A490" s="13"/>
      <c r="B490" s="13"/>
      <c r="C490" s="13"/>
      <c r="D490" s="11"/>
      <c r="H490" s="12"/>
      <c r="I490" s="11"/>
      <c r="K490" s="12"/>
      <c r="L490" s="12"/>
      <c r="M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2.75" x14ac:dyDescent="0.2">
      <c r="A491" s="13"/>
      <c r="B491" s="13"/>
      <c r="C491" s="13"/>
      <c r="D491" s="11"/>
      <c r="H491" s="12"/>
      <c r="I491" s="11"/>
      <c r="K491" s="12"/>
      <c r="L491" s="12"/>
      <c r="M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2.75" x14ac:dyDescent="0.2">
      <c r="A492" s="13"/>
      <c r="B492" s="13"/>
      <c r="C492" s="13"/>
      <c r="D492" s="11"/>
      <c r="H492" s="12"/>
      <c r="I492" s="11"/>
      <c r="K492" s="12"/>
      <c r="L492" s="12"/>
      <c r="M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2.75" x14ac:dyDescent="0.2">
      <c r="A493" s="13"/>
      <c r="B493" s="13"/>
      <c r="C493" s="13"/>
      <c r="D493" s="11"/>
      <c r="H493" s="12"/>
      <c r="I493" s="11"/>
      <c r="K493" s="12"/>
      <c r="L493" s="12"/>
      <c r="M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2.75" x14ac:dyDescent="0.2">
      <c r="A494" s="13"/>
      <c r="B494" s="13"/>
      <c r="C494" s="13"/>
      <c r="D494" s="11"/>
      <c r="H494" s="12"/>
      <c r="I494" s="11"/>
      <c r="K494" s="12"/>
      <c r="L494" s="12"/>
      <c r="M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2.75" x14ac:dyDescent="0.2">
      <c r="A495" s="13"/>
      <c r="B495" s="13"/>
      <c r="C495" s="13"/>
      <c r="D495" s="11"/>
      <c r="H495" s="12"/>
      <c r="I495" s="11"/>
      <c r="K495" s="12"/>
      <c r="L495" s="12"/>
      <c r="M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2.75" x14ac:dyDescent="0.2">
      <c r="A496" s="13"/>
      <c r="B496" s="13"/>
      <c r="C496" s="13"/>
      <c r="D496" s="11"/>
      <c r="H496" s="12"/>
      <c r="I496" s="11"/>
      <c r="K496" s="12"/>
      <c r="L496" s="12"/>
      <c r="M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2.75" x14ac:dyDescent="0.2">
      <c r="A497" s="13"/>
      <c r="B497" s="13"/>
      <c r="C497" s="13"/>
      <c r="D497" s="11"/>
      <c r="H497" s="12"/>
      <c r="I497" s="11"/>
      <c r="K497" s="12"/>
      <c r="L497" s="12"/>
      <c r="M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2.75" x14ac:dyDescent="0.2">
      <c r="A498" s="13"/>
      <c r="B498" s="13"/>
      <c r="C498" s="13"/>
      <c r="D498" s="11"/>
      <c r="H498" s="12"/>
      <c r="I498" s="11"/>
      <c r="K498" s="12"/>
      <c r="L498" s="12"/>
      <c r="M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2.75" x14ac:dyDescent="0.2">
      <c r="A499" s="13"/>
      <c r="B499" s="13"/>
      <c r="C499" s="13"/>
      <c r="D499" s="11"/>
      <c r="H499" s="12"/>
      <c r="I499" s="11"/>
      <c r="K499" s="12"/>
      <c r="L499" s="12"/>
      <c r="M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2.75" x14ac:dyDescent="0.2">
      <c r="A500" s="13"/>
      <c r="B500" s="13"/>
      <c r="C500" s="13"/>
      <c r="D500" s="11"/>
      <c r="H500" s="12"/>
      <c r="I500" s="11"/>
      <c r="K500" s="12"/>
      <c r="L500" s="12"/>
      <c r="M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2.75" x14ac:dyDescent="0.2">
      <c r="A501" s="13"/>
      <c r="B501" s="13"/>
      <c r="C501" s="13"/>
      <c r="D501" s="11"/>
      <c r="H501" s="12"/>
      <c r="I501" s="11"/>
      <c r="K501" s="12"/>
      <c r="L501" s="12"/>
      <c r="M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2.75" x14ac:dyDescent="0.2">
      <c r="A502" s="13"/>
      <c r="B502" s="13"/>
      <c r="C502" s="13"/>
      <c r="D502" s="11"/>
      <c r="H502" s="12"/>
      <c r="I502" s="11"/>
      <c r="K502" s="12"/>
      <c r="L502" s="12"/>
      <c r="M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2.75" x14ac:dyDescent="0.2">
      <c r="A503" s="13"/>
      <c r="B503" s="13"/>
      <c r="C503" s="13"/>
      <c r="D503" s="11"/>
      <c r="H503" s="12"/>
      <c r="I503" s="11"/>
      <c r="K503" s="12"/>
      <c r="L503" s="12"/>
      <c r="M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2.75" x14ac:dyDescent="0.2">
      <c r="A504" s="13"/>
      <c r="B504" s="13"/>
      <c r="C504" s="13"/>
      <c r="D504" s="11"/>
      <c r="H504" s="12"/>
      <c r="I504" s="11"/>
      <c r="K504" s="12"/>
      <c r="L504" s="12"/>
      <c r="M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2.75" x14ac:dyDescent="0.2">
      <c r="A505" s="13"/>
      <c r="B505" s="13"/>
      <c r="C505" s="13"/>
      <c r="D505" s="11"/>
      <c r="H505" s="12"/>
      <c r="I505" s="11"/>
      <c r="K505" s="12"/>
      <c r="L505" s="12"/>
      <c r="M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2.75" x14ac:dyDescent="0.2">
      <c r="A506" s="13"/>
      <c r="B506" s="13"/>
      <c r="C506" s="13"/>
      <c r="D506" s="11"/>
      <c r="H506" s="12"/>
      <c r="I506" s="11"/>
      <c r="K506" s="12"/>
      <c r="L506" s="12"/>
      <c r="M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2.75" x14ac:dyDescent="0.2">
      <c r="A507" s="13"/>
      <c r="B507" s="13"/>
      <c r="C507" s="13"/>
      <c r="D507" s="11"/>
      <c r="H507" s="12"/>
      <c r="I507" s="11"/>
      <c r="K507" s="12"/>
      <c r="L507" s="12"/>
      <c r="M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2.75" x14ac:dyDescent="0.2">
      <c r="A508" s="13"/>
      <c r="B508" s="13"/>
      <c r="C508" s="13"/>
      <c r="D508" s="11"/>
      <c r="H508" s="12"/>
      <c r="I508" s="11"/>
      <c r="K508" s="12"/>
      <c r="L508" s="12"/>
      <c r="M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2.75" x14ac:dyDescent="0.2">
      <c r="A509" s="13"/>
      <c r="B509" s="13"/>
      <c r="C509" s="13"/>
      <c r="D509" s="11"/>
      <c r="H509" s="12"/>
      <c r="I509" s="11"/>
      <c r="K509" s="12"/>
      <c r="L509" s="12"/>
      <c r="M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2.75" x14ac:dyDescent="0.2">
      <c r="A510" s="13"/>
      <c r="B510" s="13"/>
      <c r="C510" s="13"/>
      <c r="D510" s="11"/>
      <c r="H510" s="12"/>
      <c r="I510" s="11"/>
      <c r="K510" s="12"/>
      <c r="L510" s="12"/>
      <c r="M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2.75" x14ac:dyDescent="0.2">
      <c r="A511" s="13"/>
      <c r="B511" s="13"/>
      <c r="C511" s="13"/>
      <c r="D511" s="11"/>
      <c r="H511" s="12"/>
      <c r="I511" s="11"/>
      <c r="K511" s="12"/>
      <c r="L511" s="12"/>
      <c r="M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2.75" x14ac:dyDescent="0.2">
      <c r="A512" s="13"/>
      <c r="B512" s="13"/>
      <c r="C512" s="13"/>
      <c r="D512" s="11"/>
      <c r="H512" s="12"/>
      <c r="I512" s="11"/>
      <c r="K512" s="12"/>
      <c r="L512" s="12"/>
      <c r="M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2.75" x14ac:dyDescent="0.2">
      <c r="A513" s="13"/>
      <c r="B513" s="13"/>
      <c r="C513" s="13"/>
      <c r="D513" s="11"/>
      <c r="H513" s="12"/>
      <c r="I513" s="11"/>
      <c r="K513" s="12"/>
      <c r="L513" s="12"/>
      <c r="M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2.75" x14ac:dyDescent="0.2">
      <c r="A514" s="13"/>
      <c r="B514" s="13"/>
      <c r="C514" s="13"/>
      <c r="D514" s="11"/>
      <c r="H514" s="12"/>
      <c r="I514" s="11"/>
      <c r="K514" s="12"/>
      <c r="L514" s="12"/>
      <c r="M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2.75" x14ac:dyDescent="0.2">
      <c r="A515" s="13"/>
      <c r="B515" s="13"/>
      <c r="C515" s="13"/>
      <c r="D515" s="11"/>
      <c r="H515" s="12"/>
      <c r="I515" s="11"/>
      <c r="K515" s="12"/>
      <c r="L515" s="12"/>
      <c r="M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2.75" x14ac:dyDescent="0.2">
      <c r="A516" s="13"/>
      <c r="B516" s="13"/>
      <c r="C516" s="13"/>
      <c r="D516" s="11"/>
      <c r="H516" s="12"/>
      <c r="I516" s="11"/>
      <c r="K516" s="12"/>
      <c r="L516" s="12"/>
      <c r="M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2.75" x14ac:dyDescent="0.2">
      <c r="A517" s="13"/>
      <c r="B517" s="13"/>
      <c r="C517" s="13"/>
      <c r="D517" s="11"/>
      <c r="H517" s="12"/>
      <c r="I517" s="11"/>
      <c r="K517" s="12"/>
      <c r="L517" s="12"/>
      <c r="M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2.75" x14ac:dyDescent="0.2">
      <c r="A518" s="13"/>
      <c r="B518" s="13"/>
      <c r="C518" s="13"/>
      <c r="D518" s="11"/>
      <c r="H518" s="12"/>
      <c r="I518" s="11"/>
      <c r="K518" s="12"/>
      <c r="L518" s="12"/>
      <c r="M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2.75" x14ac:dyDescent="0.2">
      <c r="A519" s="13"/>
      <c r="B519" s="13"/>
      <c r="C519" s="13"/>
      <c r="D519" s="11"/>
      <c r="H519" s="12"/>
      <c r="I519" s="11"/>
      <c r="K519" s="12"/>
      <c r="L519" s="12"/>
      <c r="M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2.75" x14ac:dyDescent="0.2">
      <c r="A520" s="13"/>
      <c r="B520" s="13"/>
      <c r="C520" s="13"/>
      <c r="D520" s="11"/>
      <c r="H520" s="12"/>
      <c r="I520" s="11"/>
      <c r="K520" s="12"/>
      <c r="L520" s="12"/>
      <c r="M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2.75" x14ac:dyDescent="0.2">
      <c r="A521" s="13"/>
      <c r="B521" s="13"/>
      <c r="C521" s="13"/>
      <c r="D521" s="11"/>
      <c r="H521" s="12"/>
      <c r="I521" s="11"/>
      <c r="K521" s="12"/>
      <c r="L521" s="12"/>
      <c r="M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2.75" x14ac:dyDescent="0.2">
      <c r="A522" s="13"/>
      <c r="B522" s="13"/>
      <c r="C522" s="13"/>
      <c r="D522" s="11"/>
      <c r="H522" s="12"/>
      <c r="I522" s="11"/>
      <c r="K522" s="12"/>
      <c r="L522" s="12"/>
      <c r="M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2.75" x14ac:dyDescent="0.2">
      <c r="A523" s="13"/>
      <c r="B523" s="13"/>
      <c r="C523" s="13"/>
      <c r="D523" s="11"/>
      <c r="H523" s="12"/>
      <c r="I523" s="11"/>
      <c r="K523" s="12"/>
      <c r="L523" s="12"/>
      <c r="M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2.75" x14ac:dyDescent="0.2">
      <c r="A524" s="13"/>
      <c r="B524" s="13"/>
      <c r="C524" s="13"/>
      <c r="D524" s="11"/>
      <c r="H524" s="12"/>
      <c r="I524" s="11"/>
      <c r="K524" s="12"/>
      <c r="L524" s="12"/>
      <c r="M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2.75" x14ac:dyDescent="0.2">
      <c r="A525" s="13"/>
      <c r="B525" s="13"/>
      <c r="C525" s="13"/>
      <c r="D525" s="11"/>
      <c r="H525" s="12"/>
      <c r="I525" s="11"/>
      <c r="K525" s="12"/>
      <c r="L525" s="12"/>
      <c r="M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2.75" x14ac:dyDescent="0.2">
      <c r="A526" s="13"/>
      <c r="B526" s="13"/>
      <c r="C526" s="13"/>
      <c r="D526" s="11"/>
      <c r="H526" s="12"/>
      <c r="I526" s="11"/>
      <c r="K526" s="12"/>
      <c r="L526" s="12"/>
      <c r="M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2.75" x14ac:dyDescent="0.2">
      <c r="A527" s="13"/>
      <c r="B527" s="13"/>
      <c r="C527" s="13"/>
      <c r="D527" s="11"/>
      <c r="H527" s="12"/>
      <c r="I527" s="11"/>
      <c r="K527" s="12"/>
      <c r="L527" s="12"/>
      <c r="M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2.75" x14ac:dyDescent="0.2">
      <c r="A528" s="13"/>
      <c r="B528" s="13"/>
      <c r="C528" s="13"/>
      <c r="D528" s="11"/>
      <c r="H528" s="12"/>
      <c r="I528" s="11"/>
      <c r="K528" s="12"/>
      <c r="L528" s="12"/>
      <c r="M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2.75" x14ac:dyDescent="0.2">
      <c r="A529" s="13"/>
      <c r="B529" s="13"/>
      <c r="C529" s="13"/>
      <c r="D529" s="11"/>
      <c r="H529" s="12"/>
      <c r="I529" s="11"/>
      <c r="K529" s="12"/>
      <c r="L529" s="12"/>
      <c r="M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2.75" x14ac:dyDescent="0.2">
      <c r="A530" s="13"/>
      <c r="B530" s="13"/>
      <c r="C530" s="13"/>
      <c r="D530" s="11"/>
      <c r="H530" s="12"/>
      <c r="I530" s="11"/>
      <c r="K530" s="12"/>
      <c r="L530" s="12"/>
      <c r="M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2.75" x14ac:dyDescent="0.2">
      <c r="A531" s="13"/>
      <c r="B531" s="13"/>
      <c r="C531" s="13"/>
      <c r="D531" s="11"/>
      <c r="H531" s="12"/>
      <c r="I531" s="11"/>
      <c r="K531" s="12"/>
      <c r="L531" s="12"/>
      <c r="M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2.75" x14ac:dyDescent="0.2">
      <c r="A532" s="13"/>
      <c r="B532" s="13"/>
      <c r="C532" s="13"/>
      <c r="D532" s="11"/>
      <c r="H532" s="12"/>
      <c r="I532" s="11"/>
      <c r="K532" s="12"/>
      <c r="L532" s="12"/>
      <c r="M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2.75" x14ac:dyDescent="0.2">
      <c r="A533" s="13"/>
      <c r="B533" s="13"/>
      <c r="C533" s="13"/>
      <c r="D533" s="11"/>
      <c r="H533" s="12"/>
      <c r="I533" s="11"/>
      <c r="K533" s="12"/>
      <c r="L533" s="12"/>
      <c r="M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2.75" x14ac:dyDescent="0.2">
      <c r="A534" s="13"/>
      <c r="B534" s="13"/>
      <c r="C534" s="13"/>
      <c r="D534" s="11"/>
      <c r="H534" s="12"/>
      <c r="I534" s="11"/>
      <c r="K534" s="12"/>
      <c r="L534" s="12"/>
      <c r="M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2.75" x14ac:dyDescent="0.2">
      <c r="A535" s="13"/>
      <c r="B535" s="13"/>
      <c r="C535" s="13"/>
      <c r="D535" s="11"/>
      <c r="H535" s="12"/>
      <c r="I535" s="11"/>
      <c r="K535" s="12"/>
      <c r="L535" s="12"/>
      <c r="M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2.75" x14ac:dyDescent="0.2">
      <c r="A536" s="13"/>
      <c r="B536" s="13"/>
      <c r="C536" s="13"/>
      <c r="D536" s="11"/>
      <c r="H536" s="12"/>
      <c r="I536" s="11"/>
      <c r="K536" s="12"/>
      <c r="L536" s="12"/>
      <c r="M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2.75" x14ac:dyDescent="0.2">
      <c r="A537" s="13"/>
      <c r="B537" s="13"/>
      <c r="C537" s="13"/>
      <c r="D537" s="11"/>
      <c r="H537" s="12"/>
      <c r="I537" s="11"/>
      <c r="K537" s="12"/>
      <c r="L537" s="12"/>
      <c r="M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2.75" x14ac:dyDescent="0.2">
      <c r="A538" s="13"/>
      <c r="B538" s="13"/>
      <c r="C538" s="13"/>
      <c r="D538" s="11"/>
      <c r="H538" s="12"/>
      <c r="I538" s="11"/>
      <c r="K538" s="12"/>
      <c r="L538" s="12"/>
      <c r="M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2.75" x14ac:dyDescent="0.2">
      <c r="A539" s="13"/>
      <c r="B539" s="13"/>
      <c r="C539" s="13"/>
      <c r="D539" s="11"/>
      <c r="H539" s="12"/>
      <c r="I539" s="11"/>
      <c r="K539" s="12"/>
      <c r="L539" s="12"/>
      <c r="M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2.75" x14ac:dyDescent="0.2">
      <c r="A540" s="13"/>
      <c r="B540" s="13"/>
      <c r="C540" s="13"/>
      <c r="D540" s="11"/>
      <c r="H540" s="12"/>
      <c r="I540" s="11"/>
      <c r="K540" s="12"/>
      <c r="L540" s="12"/>
      <c r="M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2.75" x14ac:dyDescent="0.2">
      <c r="A541" s="13"/>
      <c r="B541" s="13"/>
      <c r="C541" s="13"/>
      <c r="D541" s="11"/>
      <c r="H541" s="12"/>
      <c r="I541" s="11"/>
      <c r="K541" s="12"/>
      <c r="L541" s="12"/>
      <c r="M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2.75" x14ac:dyDescent="0.2">
      <c r="A542" s="13"/>
      <c r="B542" s="13"/>
      <c r="C542" s="13"/>
      <c r="D542" s="11"/>
      <c r="H542" s="12"/>
      <c r="I542" s="11"/>
      <c r="K542" s="12"/>
      <c r="L542" s="12"/>
      <c r="M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2.75" x14ac:dyDescent="0.2">
      <c r="A543" s="13"/>
      <c r="B543" s="13"/>
      <c r="C543" s="13"/>
      <c r="D543" s="11"/>
      <c r="H543" s="12"/>
      <c r="I543" s="11"/>
      <c r="K543" s="12"/>
      <c r="L543" s="12"/>
      <c r="M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2.75" x14ac:dyDescent="0.2">
      <c r="A544" s="13"/>
      <c r="B544" s="13"/>
      <c r="C544" s="13"/>
      <c r="D544" s="11"/>
      <c r="H544" s="12"/>
      <c r="I544" s="11"/>
      <c r="K544" s="12"/>
      <c r="L544" s="12"/>
      <c r="M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2.75" x14ac:dyDescent="0.2">
      <c r="A545" s="13"/>
      <c r="B545" s="13"/>
      <c r="C545" s="13"/>
      <c r="D545" s="11"/>
      <c r="H545" s="12"/>
      <c r="I545" s="11"/>
      <c r="K545" s="12"/>
      <c r="L545" s="12"/>
      <c r="M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2.75" x14ac:dyDescent="0.2">
      <c r="A546" s="13"/>
      <c r="B546" s="13"/>
      <c r="C546" s="13"/>
      <c r="D546" s="11"/>
      <c r="H546" s="12"/>
      <c r="I546" s="11"/>
      <c r="K546" s="12"/>
      <c r="L546" s="12"/>
      <c r="M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2.75" x14ac:dyDescent="0.2">
      <c r="A547" s="13"/>
      <c r="B547" s="13"/>
      <c r="C547" s="13"/>
      <c r="D547" s="11"/>
      <c r="H547" s="12"/>
      <c r="I547" s="11"/>
      <c r="K547" s="12"/>
      <c r="L547" s="12"/>
      <c r="M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2.75" x14ac:dyDescent="0.2">
      <c r="A548" s="13"/>
      <c r="B548" s="13"/>
      <c r="C548" s="13"/>
      <c r="D548" s="11"/>
      <c r="H548" s="12"/>
      <c r="I548" s="11"/>
      <c r="K548" s="12"/>
      <c r="L548" s="12"/>
      <c r="M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2.75" x14ac:dyDescent="0.2">
      <c r="A549" s="13"/>
      <c r="B549" s="13"/>
      <c r="C549" s="13"/>
      <c r="D549" s="11"/>
      <c r="H549" s="12"/>
      <c r="I549" s="11"/>
      <c r="K549" s="12"/>
      <c r="L549" s="12"/>
      <c r="M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2.75" x14ac:dyDescent="0.2">
      <c r="A550" s="13"/>
      <c r="B550" s="13"/>
      <c r="C550" s="13"/>
      <c r="D550" s="11"/>
      <c r="H550" s="12"/>
      <c r="I550" s="11"/>
      <c r="K550" s="12"/>
      <c r="L550" s="12"/>
      <c r="M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2.75" x14ac:dyDescent="0.2">
      <c r="A551" s="13"/>
      <c r="B551" s="13"/>
      <c r="C551" s="13"/>
      <c r="D551" s="11"/>
      <c r="H551" s="12"/>
      <c r="I551" s="11"/>
      <c r="K551" s="12"/>
      <c r="L551" s="12"/>
      <c r="M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2.75" x14ac:dyDescent="0.2">
      <c r="A552" s="13"/>
      <c r="B552" s="13"/>
      <c r="C552" s="13"/>
      <c r="D552" s="11"/>
      <c r="H552" s="12"/>
      <c r="I552" s="11"/>
      <c r="K552" s="12"/>
      <c r="L552" s="12"/>
      <c r="M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2.75" x14ac:dyDescent="0.2">
      <c r="A553" s="13"/>
      <c r="B553" s="13"/>
      <c r="C553" s="13"/>
      <c r="D553" s="11"/>
      <c r="H553" s="12"/>
      <c r="I553" s="11"/>
      <c r="K553" s="12"/>
      <c r="L553" s="12"/>
      <c r="M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2.75" x14ac:dyDescent="0.2">
      <c r="A554" s="13"/>
      <c r="B554" s="13"/>
      <c r="C554" s="13"/>
      <c r="D554" s="11"/>
      <c r="H554" s="12"/>
      <c r="I554" s="11"/>
      <c r="K554" s="12"/>
      <c r="L554" s="12"/>
      <c r="M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2.75" x14ac:dyDescent="0.2">
      <c r="A555" s="13"/>
      <c r="B555" s="13"/>
      <c r="C555" s="13"/>
      <c r="D555" s="11"/>
      <c r="H555" s="12"/>
      <c r="I555" s="11"/>
      <c r="K555" s="12"/>
      <c r="L555" s="12"/>
      <c r="M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2.75" x14ac:dyDescent="0.2">
      <c r="A556" s="13"/>
      <c r="B556" s="13"/>
      <c r="C556" s="13"/>
      <c r="D556" s="11"/>
      <c r="H556" s="12"/>
      <c r="I556" s="11"/>
      <c r="K556" s="12"/>
      <c r="L556" s="12"/>
      <c r="M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2.75" x14ac:dyDescent="0.2">
      <c r="A557" s="13"/>
      <c r="B557" s="13"/>
      <c r="C557" s="13"/>
      <c r="D557" s="11"/>
      <c r="H557" s="12"/>
      <c r="I557" s="11"/>
      <c r="K557" s="12"/>
      <c r="L557" s="12"/>
      <c r="M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2.75" x14ac:dyDescent="0.2">
      <c r="A558" s="13"/>
      <c r="B558" s="13"/>
      <c r="C558" s="13"/>
      <c r="D558" s="11"/>
      <c r="H558" s="12"/>
      <c r="I558" s="11"/>
      <c r="K558" s="12"/>
      <c r="L558" s="12"/>
      <c r="M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2.75" x14ac:dyDescent="0.2">
      <c r="A559" s="13"/>
      <c r="B559" s="13"/>
      <c r="C559" s="13"/>
      <c r="D559" s="11"/>
      <c r="H559" s="12"/>
      <c r="I559" s="11"/>
      <c r="K559" s="12"/>
      <c r="L559" s="12"/>
      <c r="M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2.75" x14ac:dyDescent="0.2">
      <c r="A560" s="13"/>
      <c r="B560" s="13"/>
      <c r="C560" s="13"/>
      <c r="D560" s="11"/>
      <c r="H560" s="12"/>
      <c r="I560" s="11"/>
      <c r="K560" s="12"/>
      <c r="L560" s="12"/>
      <c r="M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2.75" x14ac:dyDescent="0.2">
      <c r="A561" s="13"/>
      <c r="B561" s="13"/>
      <c r="C561" s="13"/>
      <c r="D561" s="11"/>
      <c r="H561" s="12"/>
      <c r="I561" s="11"/>
      <c r="K561" s="12"/>
      <c r="L561" s="12"/>
      <c r="M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2.75" x14ac:dyDescent="0.2">
      <c r="A562" s="13"/>
      <c r="B562" s="13"/>
      <c r="C562" s="13"/>
      <c r="D562" s="11"/>
      <c r="H562" s="12"/>
      <c r="I562" s="11"/>
      <c r="K562" s="12"/>
      <c r="L562" s="12"/>
      <c r="M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2.75" x14ac:dyDescent="0.2">
      <c r="A563" s="13"/>
      <c r="B563" s="13"/>
      <c r="C563" s="13"/>
      <c r="D563" s="11"/>
      <c r="H563" s="12"/>
      <c r="I563" s="11"/>
      <c r="K563" s="12"/>
      <c r="L563" s="12"/>
      <c r="M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2.75" x14ac:dyDescent="0.2">
      <c r="A564" s="13"/>
      <c r="B564" s="13"/>
      <c r="C564" s="13"/>
      <c r="D564" s="11"/>
      <c r="H564" s="12"/>
      <c r="I564" s="11"/>
      <c r="K564" s="12"/>
      <c r="L564" s="12"/>
      <c r="M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2.75" x14ac:dyDescent="0.2">
      <c r="A565" s="13"/>
      <c r="B565" s="13"/>
      <c r="C565" s="13"/>
      <c r="D565" s="11"/>
      <c r="H565" s="12"/>
      <c r="I565" s="11"/>
      <c r="K565" s="12"/>
      <c r="L565" s="12"/>
      <c r="M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2.75" x14ac:dyDescent="0.2">
      <c r="A566" s="13"/>
      <c r="B566" s="13"/>
      <c r="C566" s="13"/>
      <c r="D566" s="11"/>
      <c r="H566" s="12"/>
      <c r="I566" s="11"/>
      <c r="K566" s="12"/>
      <c r="L566" s="12"/>
      <c r="M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2.75" x14ac:dyDescent="0.2">
      <c r="A567" s="13"/>
      <c r="B567" s="13"/>
      <c r="C567" s="13"/>
      <c r="D567" s="11"/>
      <c r="H567" s="12"/>
      <c r="I567" s="11"/>
      <c r="K567" s="12"/>
      <c r="L567" s="12"/>
      <c r="M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2.75" x14ac:dyDescent="0.2">
      <c r="A568" s="13"/>
      <c r="B568" s="13"/>
      <c r="C568" s="13"/>
      <c r="D568" s="11"/>
      <c r="H568" s="12"/>
      <c r="I568" s="11"/>
      <c r="K568" s="12"/>
      <c r="L568" s="12"/>
      <c r="M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2.75" x14ac:dyDescent="0.2">
      <c r="A569" s="13"/>
      <c r="B569" s="13"/>
      <c r="C569" s="13"/>
      <c r="D569" s="11"/>
      <c r="H569" s="12"/>
      <c r="I569" s="11"/>
      <c r="K569" s="12"/>
      <c r="L569" s="12"/>
      <c r="M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2.75" x14ac:dyDescent="0.2">
      <c r="A570" s="13"/>
      <c r="B570" s="13"/>
      <c r="C570" s="13"/>
      <c r="D570" s="11"/>
      <c r="H570" s="12"/>
      <c r="I570" s="11"/>
      <c r="K570" s="12"/>
      <c r="L570" s="12"/>
      <c r="M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2.75" x14ac:dyDescent="0.2">
      <c r="A571" s="13"/>
      <c r="B571" s="13"/>
      <c r="C571" s="13"/>
      <c r="D571" s="11"/>
      <c r="H571" s="12"/>
      <c r="I571" s="11"/>
      <c r="K571" s="12"/>
      <c r="L571" s="12"/>
      <c r="M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2.75" x14ac:dyDescent="0.2">
      <c r="A572" s="13"/>
      <c r="B572" s="13"/>
      <c r="C572" s="13"/>
      <c r="D572" s="11"/>
      <c r="H572" s="12"/>
      <c r="I572" s="11"/>
      <c r="K572" s="12"/>
      <c r="L572" s="12"/>
      <c r="M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2.75" x14ac:dyDescent="0.2">
      <c r="A573" s="13"/>
      <c r="B573" s="13"/>
      <c r="C573" s="13"/>
      <c r="D573" s="11"/>
      <c r="H573" s="12"/>
      <c r="I573" s="11"/>
      <c r="K573" s="12"/>
      <c r="L573" s="12"/>
      <c r="M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2.75" x14ac:dyDescent="0.2">
      <c r="A574" s="13"/>
      <c r="B574" s="13"/>
      <c r="C574" s="13"/>
      <c r="D574" s="11"/>
      <c r="H574" s="12"/>
      <c r="I574" s="11"/>
      <c r="K574" s="12"/>
      <c r="L574" s="12"/>
      <c r="M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2.75" x14ac:dyDescent="0.2">
      <c r="A575" s="13"/>
      <c r="B575" s="13"/>
      <c r="C575" s="13"/>
      <c r="D575" s="11"/>
      <c r="H575" s="12"/>
      <c r="I575" s="11"/>
      <c r="K575" s="12"/>
      <c r="L575" s="12"/>
      <c r="M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2.75" x14ac:dyDescent="0.2">
      <c r="A576" s="13"/>
      <c r="B576" s="13"/>
      <c r="C576" s="13"/>
      <c r="D576" s="11"/>
      <c r="H576" s="12"/>
      <c r="I576" s="11"/>
      <c r="K576" s="12"/>
      <c r="L576" s="12"/>
      <c r="M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2.75" x14ac:dyDescent="0.2">
      <c r="A577" s="13"/>
      <c r="B577" s="13"/>
      <c r="C577" s="13"/>
      <c r="D577" s="11"/>
      <c r="H577" s="12"/>
      <c r="I577" s="11"/>
      <c r="K577" s="12"/>
      <c r="L577" s="12"/>
      <c r="M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2.75" x14ac:dyDescent="0.2">
      <c r="A578" s="13"/>
      <c r="B578" s="13"/>
      <c r="C578" s="13"/>
      <c r="D578" s="11"/>
      <c r="H578" s="12"/>
      <c r="I578" s="11"/>
      <c r="K578" s="12"/>
      <c r="L578" s="12"/>
      <c r="M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2.75" x14ac:dyDescent="0.2">
      <c r="A579" s="13"/>
      <c r="B579" s="13"/>
      <c r="C579" s="13"/>
      <c r="D579" s="11"/>
      <c r="H579" s="12"/>
      <c r="I579" s="11"/>
      <c r="K579" s="12"/>
      <c r="L579" s="12"/>
      <c r="M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2.75" x14ac:dyDescent="0.2">
      <c r="A580" s="13"/>
      <c r="B580" s="13"/>
      <c r="C580" s="13"/>
      <c r="D580" s="11"/>
      <c r="H580" s="12"/>
      <c r="I580" s="11"/>
      <c r="K580" s="12"/>
      <c r="L580" s="12"/>
      <c r="M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2.75" x14ac:dyDescent="0.2">
      <c r="A581" s="13"/>
      <c r="B581" s="13"/>
      <c r="C581" s="13"/>
      <c r="D581" s="11"/>
      <c r="H581" s="12"/>
      <c r="I581" s="11"/>
      <c r="K581" s="12"/>
      <c r="L581" s="12"/>
      <c r="M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2.75" x14ac:dyDescent="0.2">
      <c r="A582" s="13"/>
      <c r="B582" s="13"/>
      <c r="C582" s="13"/>
      <c r="D582" s="11"/>
      <c r="H582" s="12"/>
      <c r="I582" s="11"/>
      <c r="K582" s="12"/>
      <c r="L582" s="12"/>
      <c r="M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2.75" x14ac:dyDescent="0.2">
      <c r="A583" s="13"/>
      <c r="B583" s="13"/>
      <c r="C583" s="13"/>
      <c r="D583" s="11"/>
      <c r="H583" s="12"/>
      <c r="I583" s="11"/>
      <c r="K583" s="12"/>
      <c r="L583" s="12"/>
      <c r="M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2.75" x14ac:dyDescent="0.2">
      <c r="A584" s="13"/>
      <c r="B584" s="13"/>
      <c r="C584" s="13"/>
      <c r="D584" s="11"/>
      <c r="H584" s="12"/>
      <c r="I584" s="11"/>
      <c r="K584" s="12"/>
      <c r="L584" s="12"/>
      <c r="M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2.75" x14ac:dyDescent="0.2">
      <c r="A585" s="13"/>
      <c r="B585" s="13"/>
      <c r="C585" s="13"/>
      <c r="D585" s="11"/>
      <c r="H585" s="12"/>
      <c r="I585" s="11"/>
      <c r="K585" s="12"/>
      <c r="L585" s="12"/>
      <c r="M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2.75" x14ac:dyDescent="0.2">
      <c r="A586" s="13"/>
      <c r="B586" s="13"/>
      <c r="C586" s="13"/>
      <c r="D586" s="11"/>
      <c r="H586" s="12"/>
      <c r="I586" s="11"/>
      <c r="K586" s="12"/>
      <c r="L586" s="12"/>
      <c r="M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2.75" x14ac:dyDescent="0.2">
      <c r="A587" s="13"/>
      <c r="B587" s="13"/>
      <c r="C587" s="13"/>
      <c r="D587" s="11"/>
      <c r="H587" s="12"/>
      <c r="I587" s="11"/>
      <c r="K587" s="12"/>
      <c r="L587" s="12"/>
      <c r="M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2.75" x14ac:dyDescent="0.2">
      <c r="A588" s="13"/>
      <c r="B588" s="13"/>
      <c r="C588" s="13"/>
      <c r="D588" s="11"/>
      <c r="H588" s="12"/>
      <c r="I588" s="11"/>
      <c r="K588" s="12"/>
      <c r="L588" s="12"/>
      <c r="M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2.75" x14ac:dyDescent="0.2">
      <c r="A589" s="13"/>
      <c r="B589" s="13"/>
      <c r="C589" s="13"/>
      <c r="D589" s="11"/>
      <c r="H589" s="12"/>
      <c r="I589" s="11"/>
      <c r="K589" s="12"/>
      <c r="L589" s="12"/>
      <c r="M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2.75" x14ac:dyDescent="0.2">
      <c r="A590" s="13"/>
      <c r="B590" s="13"/>
      <c r="C590" s="13"/>
      <c r="D590" s="11"/>
      <c r="H590" s="12"/>
      <c r="I590" s="11"/>
      <c r="K590" s="12"/>
      <c r="L590" s="12"/>
      <c r="M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2.75" x14ac:dyDescent="0.2">
      <c r="A591" s="13"/>
      <c r="B591" s="13"/>
      <c r="C591" s="13"/>
      <c r="D591" s="11"/>
      <c r="H591" s="12"/>
      <c r="I591" s="11"/>
      <c r="K591" s="12"/>
      <c r="L591" s="12"/>
      <c r="M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2.75" x14ac:dyDescent="0.2">
      <c r="A592" s="13"/>
      <c r="B592" s="13"/>
      <c r="C592" s="13"/>
      <c r="D592" s="11"/>
      <c r="H592" s="12"/>
      <c r="I592" s="11"/>
      <c r="K592" s="12"/>
      <c r="L592" s="12"/>
      <c r="M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2.75" x14ac:dyDescent="0.2">
      <c r="A593" s="13"/>
      <c r="B593" s="13"/>
      <c r="C593" s="13"/>
      <c r="D593" s="11"/>
      <c r="H593" s="12"/>
      <c r="I593" s="11"/>
      <c r="K593" s="12"/>
      <c r="L593" s="12"/>
      <c r="M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2.75" x14ac:dyDescent="0.2">
      <c r="A594" s="13"/>
      <c r="B594" s="13"/>
      <c r="C594" s="13"/>
      <c r="D594" s="11"/>
      <c r="H594" s="12"/>
      <c r="I594" s="11"/>
      <c r="K594" s="12"/>
      <c r="L594" s="12"/>
      <c r="M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2.75" x14ac:dyDescent="0.2">
      <c r="A595" s="13"/>
      <c r="B595" s="13"/>
      <c r="C595" s="13"/>
      <c r="D595" s="11"/>
      <c r="H595" s="12"/>
      <c r="I595" s="11"/>
      <c r="K595" s="12"/>
      <c r="L595" s="12"/>
      <c r="M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2.75" x14ac:dyDescent="0.2">
      <c r="A596" s="13"/>
      <c r="B596" s="13"/>
      <c r="C596" s="13"/>
      <c r="D596" s="11"/>
      <c r="H596" s="12"/>
      <c r="I596" s="11"/>
      <c r="K596" s="12"/>
      <c r="L596" s="12"/>
      <c r="M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2.75" x14ac:dyDescent="0.2">
      <c r="A597" s="13"/>
      <c r="B597" s="13"/>
      <c r="C597" s="13"/>
      <c r="D597" s="11"/>
      <c r="H597" s="12"/>
      <c r="I597" s="11"/>
      <c r="K597" s="12"/>
      <c r="L597" s="12"/>
      <c r="M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2.75" x14ac:dyDescent="0.2">
      <c r="A598" s="13"/>
      <c r="B598" s="13"/>
      <c r="C598" s="13"/>
      <c r="D598" s="11"/>
      <c r="H598" s="12"/>
      <c r="I598" s="11"/>
      <c r="K598" s="12"/>
      <c r="L598" s="12"/>
      <c r="M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2.75" x14ac:dyDescent="0.2">
      <c r="A599" s="13"/>
      <c r="B599" s="13"/>
      <c r="C599" s="13"/>
      <c r="D599" s="11"/>
      <c r="H599" s="12"/>
      <c r="I599" s="11"/>
      <c r="K599" s="12"/>
      <c r="L599" s="12"/>
      <c r="M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2.75" x14ac:dyDescent="0.2">
      <c r="A600" s="13"/>
      <c r="B600" s="13"/>
      <c r="C600" s="13"/>
      <c r="D600" s="11"/>
      <c r="H600" s="12"/>
      <c r="I600" s="11"/>
      <c r="K600" s="12"/>
      <c r="L600" s="12"/>
      <c r="M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2.75" x14ac:dyDescent="0.2">
      <c r="A601" s="13"/>
      <c r="B601" s="13"/>
      <c r="C601" s="13"/>
      <c r="D601" s="11"/>
      <c r="H601" s="12"/>
      <c r="I601" s="11"/>
      <c r="K601" s="12"/>
      <c r="L601" s="12"/>
      <c r="M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2.75" x14ac:dyDescent="0.2">
      <c r="A602" s="13"/>
      <c r="B602" s="13"/>
      <c r="C602" s="13"/>
      <c r="D602" s="11"/>
      <c r="H602" s="12"/>
      <c r="I602" s="11"/>
      <c r="K602" s="12"/>
      <c r="L602" s="12"/>
      <c r="M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2.75" x14ac:dyDescent="0.2">
      <c r="A603" s="13"/>
      <c r="B603" s="13"/>
      <c r="C603" s="13"/>
      <c r="D603" s="11"/>
      <c r="H603" s="12"/>
      <c r="I603" s="11"/>
      <c r="K603" s="12"/>
      <c r="L603" s="12"/>
      <c r="M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2.75" x14ac:dyDescent="0.2">
      <c r="A604" s="13"/>
      <c r="B604" s="13"/>
      <c r="C604" s="13"/>
      <c r="D604" s="11"/>
      <c r="H604" s="12"/>
      <c r="I604" s="11"/>
      <c r="K604" s="12"/>
      <c r="L604" s="12"/>
      <c r="M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2.75" x14ac:dyDescent="0.2">
      <c r="A605" s="13"/>
      <c r="B605" s="13"/>
      <c r="C605" s="13"/>
      <c r="D605" s="11"/>
      <c r="H605" s="12"/>
      <c r="I605" s="11"/>
      <c r="K605" s="12"/>
      <c r="L605" s="12"/>
      <c r="M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2.75" x14ac:dyDescent="0.2">
      <c r="A606" s="13"/>
      <c r="B606" s="13"/>
      <c r="C606" s="13"/>
      <c r="D606" s="11"/>
      <c r="H606" s="12"/>
      <c r="I606" s="11"/>
      <c r="K606" s="12"/>
      <c r="L606" s="12"/>
      <c r="M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2.75" x14ac:dyDescent="0.2">
      <c r="A607" s="13"/>
      <c r="B607" s="13"/>
      <c r="C607" s="13"/>
      <c r="D607" s="11"/>
      <c r="H607" s="12"/>
      <c r="I607" s="11"/>
      <c r="K607" s="12"/>
      <c r="L607" s="12"/>
      <c r="M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2.75" x14ac:dyDescent="0.2">
      <c r="A608" s="13"/>
      <c r="B608" s="13"/>
      <c r="C608" s="13"/>
      <c r="D608" s="11"/>
      <c r="H608" s="12"/>
      <c r="I608" s="11"/>
      <c r="K608" s="12"/>
      <c r="L608" s="12"/>
      <c r="M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2.75" x14ac:dyDescent="0.2">
      <c r="A609" s="13"/>
      <c r="B609" s="13"/>
      <c r="C609" s="13"/>
      <c r="D609" s="11"/>
      <c r="H609" s="12"/>
      <c r="I609" s="11"/>
      <c r="K609" s="12"/>
      <c r="L609" s="12"/>
      <c r="M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2.75" x14ac:dyDescent="0.2">
      <c r="A610" s="13"/>
      <c r="B610" s="13"/>
      <c r="C610" s="13"/>
      <c r="D610" s="11"/>
      <c r="H610" s="12"/>
      <c r="I610" s="11"/>
      <c r="K610" s="12"/>
      <c r="L610" s="12"/>
      <c r="M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2.75" x14ac:dyDescent="0.2">
      <c r="A611" s="13"/>
      <c r="B611" s="13"/>
      <c r="C611" s="13"/>
      <c r="D611" s="11"/>
      <c r="H611" s="12"/>
      <c r="I611" s="11"/>
      <c r="K611" s="12"/>
      <c r="L611" s="12"/>
      <c r="M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2.75" x14ac:dyDescent="0.2">
      <c r="A612" s="13"/>
      <c r="B612" s="13"/>
      <c r="C612" s="13"/>
      <c r="D612" s="11"/>
      <c r="H612" s="12"/>
      <c r="I612" s="11"/>
      <c r="K612" s="12"/>
      <c r="L612" s="12"/>
      <c r="M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2.75" x14ac:dyDescent="0.2">
      <c r="A613" s="13"/>
      <c r="B613" s="13"/>
      <c r="C613" s="13"/>
      <c r="D613" s="11"/>
      <c r="H613" s="12"/>
      <c r="I613" s="11"/>
      <c r="K613" s="12"/>
      <c r="L613" s="12"/>
      <c r="M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2.75" x14ac:dyDescent="0.2">
      <c r="A614" s="13"/>
      <c r="B614" s="13"/>
      <c r="C614" s="13"/>
      <c r="D614" s="11"/>
      <c r="H614" s="12"/>
      <c r="I614" s="11"/>
      <c r="K614" s="12"/>
      <c r="L614" s="12"/>
      <c r="M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2.75" x14ac:dyDescent="0.2">
      <c r="A615" s="13"/>
      <c r="B615" s="13"/>
      <c r="C615" s="13"/>
      <c r="D615" s="11"/>
      <c r="H615" s="12"/>
      <c r="I615" s="11"/>
      <c r="K615" s="12"/>
      <c r="L615" s="12"/>
      <c r="M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2.75" x14ac:dyDescent="0.2">
      <c r="A616" s="13"/>
      <c r="B616" s="13"/>
      <c r="C616" s="13"/>
      <c r="D616" s="11"/>
      <c r="H616" s="12"/>
      <c r="I616" s="11"/>
      <c r="K616" s="12"/>
      <c r="L616" s="12"/>
      <c r="M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2.75" x14ac:dyDescent="0.2">
      <c r="A617" s="13"/>
      <c r="B617" s="13"/>
      <c r="C617" s="13"/>
      <c r="D617" s="11"/>
      <c r="H617" s="12"/>
      <c r="I617" s="11"/>
      <c r="K617" s="12"/>
      <c r="L617" s="12"/>
      <c r="M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2.75" x14ac:dyDescent="0.2">
      <c r="A618" s="13"/>
      <c r="B618" s="13"/>
      <c r="C618" s="13"/>
      <c r="D618" s="11"/>
      <c r="H618" s="12"/>
      <c r="I618" s="11"/>
      <c r="K618" s="12"/>
      <c r="L618" s="12"/>
      <c r="M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2.75" x14ac:dyDescent="0.2">
      <c r="A619" s="13"/>
      <c r="B619" s="13"/>
      <c r="C619" s="13"/>
      <c r="D619" s="11"/>
      <c r="H619" s="12"/>
      <c r="I619" s="11"/>
      <c r="K619" s="12"/>
      <c r="L619" s="12"/>
      <c r="M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2.75" x14ac:dyDescent="0.2">
      <c r="A620" s="13"/>
      <c r="B620" s="13"/>
      <c r="C620" s="13"/>
      <c r="D620" s="11"/>
      <c r="H620" s="12"/>
      <c r="I620" s="11"/>
      <c r="K620" s="12"/>
      <c r="L620" s="12"/>
      <c r="M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2.75" x14ac:dyDescent="0.2">
      <c r="A621" s="13"/>
      <c r="B621" s="13"/>
      <c r="C621" s="13"/>
      <c r="D621" s="11"/>
      <c r="H621" s="12"/>
      <c r="I621" s="11"/>
      <c r="K621" s="12"/>
      <c r="L621" s="12"/>
      <c r="M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2.75" x14ac:dyDescent="0.2">
      <c r="A622" s="13"/>
      <c r="B622" s="13"/>
      <c r="C622" s="13"/>
      <c r="D622" s="11"/>
      <c r="H622" s="12"/>
      <c r="I622" s="11"/>
      <c r="K622" s="12"/>
      <c r="L622" s="12"/>
      <c r="M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2.75" x14ac:dyDescent="0.2">
      <c r="A623" s="13"/>
      <c r="B623" s="13"/>
      <c r="C623" s="13"/>
      <c r="D623" s="11"/>
      <c r="H623" s="12"/>
      <c r="I623" s="11"/>
      <c r="K623" s="12"/>
      <c r="L623" s="12"/>
      <c r="M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2.75" x14ac:dyDescent="0.2">
      <c r="A624" s="13"/>
      <c r="B624" s="13"/>
      <c r="C624" s="13"/>
      <c r="D624" s="11"/>
      <c r="H624" s="12"/>
      <c r="I624" s="11"/>
      <c r="K624" s="12"/>
      <c r="L624" s="12"/>
      <c r="M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2.75" x14ac:dyDescent="0.2">
      <c r="A625" s="13"/>
      <c r="B625" s="13"/>
      <c r="C625" s="13"/>
      <c r="D625" s="11"/>
      <c r="H625" s="12"/>
      <c r="I625" s="11"/>
      <c r="K625" s="12"/>
      <c r="L625" s="12"/>
      <c r="M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2.75" x14ac:dyDescent="0.2">
      <c r="A626" s="13"/>
      <c r="B626" s="13"/>
      <c r="C626" s="13"/>
      <c r="D626" s="11"/>
      <c r="H626" s="12"/>
      <c r="I626" s="11"/>
      <c r="K626" s="12"/>
      <c r="L626" s="12"/>
      <c r="M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2.75" x14ac:dyDescent="0.2">
      <c r="A627" s="13"/>
      <c r="B627" s="13"/>
      <c r="C627" s="13"/>
      <c r="D627" s="11"/>
      <c r="H627" s="12"/>
      <c r="I627" s="11"/>
      <c r="K627" s="12"/>
      <c r="L627" s="12"/>
      <c r="M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2.75" x14ac:dyDescent="0.2">
      <c r="A628" s="13"/>
      <c r="B628" s="13"/>
      <c r="C628" s="13"/>
      <c r="D628" s="11"/>
      <c r="H628" s="12"/>
      <c r="I628" s="11"/>
      <c r="K628" s="12"/>
      <c r="L628" s="12"/>
      <c r="M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2.75" x14ac:dyDescent="0.2">
      <c r="A629" s="13"/>
      <c r="B629" s="13"/>
      <c r="C629" s="13"/>
      <c r="D629" s="11"/>
      <c r="H629" s="12"/>
      <c r="I629" s="11"/>
      <c r="K629" s="12"/>
      <c r="L629" s="12"/>
      <c r="M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2.75" x14ac:dyDescent="0.2">
      <c r="A630" s="13"/>
      <c r="B630" s="13"/>
      <c r="C630" s="13"/>
      <c r="D630" s="11"/>
      <c r="H630" s="12"/>
      <c r="I630" s="11"/>
      <c r="K630" s="12"/>
      <c r="L630" s="12"/>
      <c r="M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2.75" x14ac:dyDescent="0.2">
      <c r="A631" s="13"/>
      <c r="B631" s="13"/>
      <c r="C631" s="13"/>
      <c r="D631" s="11"/>
      <c r="H631" s="12"/>
      <c r="I631" s="11"/>
      <c r="K631" s="12"/>
      <c r="L631" s="12"/>
      <c r="M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2.75" x14ac:dyDescent="0.2">
      <c r="A632" s="13"/>
      <c r="B632" s="13"/>
      <c r="C632" s="13"/>
      <c r="D632" s="11"/>
      <c r="H632" s="12"/>
      <c r="I632" s="11"/>
      <c r="K632" s="12"/>
      <c r="L632" s="12"/>
      <c r="M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2.75" x14ac:dyDescent="0.2">
      <c r="A633" s="13"/>
      <c r="B633" s="13"/>
      <c r="C633" s="13"/>
      <c r="D633" s="11"/>
      <c r="H633" s="12"/>
      <c r="I633" s="11"/>
      <c r="K633" s="12"/>
      <c r="L633" s="12"/>
      <c r="M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2.75" x14ac:dyDescent="0.2">
      <c r="A634" s="13"/>
      <c r="B634" s="13"/>
      <c r="C634" s="13"/>
      <c r="D634" s="11"/>
      <c r="H634" s="12"/>
      <c r="I634" s="11"/>
      <c r="K634" s="12"/>
      <c r="L634" s="12"/>
      <c r="M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2.75" x14ac:dyDescent="0.2">
      <c r="A635" s="13"/>
      <c r="B635" s="13"/>
      <c r="C635" s="13"/>
      <c r="D635" s="11"/>
      <c r="H635" s="12"/>
      <c r="I635" s="11"/>
      <c r="K635" s="12"/>
      <c r="L635" s="12"/>
      <c r="M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2.75" x14ac:dyDescent="0.2">
      <c r="A636" s="13"/>
      <c r="B636" s="13"/>
      <c r="C636" s="13"/>
      <c r="D636" s="11"/>
      <c r="H636" s="12"/>
      <c r="I636" s="11"/>
      <c r="K636" s="12"/>
      <c r="L636" s="12"/>
      <c r="M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2.75" x14ac:dyDescent="0.2">
      <c r="A637" s="13"/>
      <c r="B637" s="13"/>
      <c r="C637" s="13"/>
      <c r="D637" s="11"/>
      <c r="H637" s="12"/>
      <c r="I637" s="11"/>
      <c r="K637" s="12"/>
      <c r="L637" s="12"/>
      <c r="M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2.75" x14ac:dyDescent="0.2">
      <c r="A638" s="13"/>
      <c r="B638" s="13"/>
      <c r="C638" s="13"/>
      <c r="D638" s="11"/>
      <c r="H638" s="12"/>
      <c r="I638" s="11"/>
      <c r="K638" s="12"/>
      <c r="L638" s="12"/>
      <c r="M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2.75" x14ac:dyDescent="0.2">
      <c r="A639" s="13"/>
      <c r="B639" s="13"/>
      <c r="C639" s="13"/>
      <c r="D639" s="11"/>
      <c r="H639" s="12"/>
      <c r="I639" s="11"/>
      <c r="K639" s="12"/>
      <c r="L639" s="12"/>
      <c r="M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2.75" x14ac:dyDescent="0.2">
      <c r="A640" s="13"/>
      <c r="B640" s="13"/>
      <c r="C640" s="13"/>
      <c r="D640" s="11"/>
      <c r="H640" s="12"/>
      <c r="I640" s="11"/>
      <c r="K640" s="12"/>
      <c r="L640" s="12"/>
      <c r="M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2.75" x14ac:dyDescent="0.2">
      <c r="A641" s="13"/>
      <c r="B641" s="13"/>
      <c r="C641" s="13"/>
      <c r="D641" s="11"/>
      <c r="H641" s="12"/>
      <c r="I641" s="11"/>
      <c r="K641" s="12"/>
      <c r="L641" s="12"/>
      <c r="M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2.75" x14ac:dyDescent="0.2">
      <c r="A642" s="13"/>
      <c r="B642" s="13"/>
      <c r="C642" s="13"/>
      <c r="D642" s="11"/>
      <c r="H642" s="12"/>
      <c r="I642" s="11"/>
      <c r="K642" s="12"/>
      <c r="L642" s="12"/>
      <c r="M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2.75" x14ac:dyDescent="0.2">
      <c r="A643" s="13"/>
      <c r="B643" s="13"/>
      <c r="C643" s="13"/>
      <c r="D643" s="11"/>
      <c r="H643" s="12"/>
      <c r="I643" s="11"/>
      <c r="K643" s="12"/>
      <c r="L643" s="12"/>
      <c r="M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2.75" x14ac:dyDescent="0.2">
      <c r="A644" s="13"/>
      <c r="B644" s="13"/>
      <c r="C644" s="13"/>
      <c r="D644" s="11"/>
      <c r="H644" s="12"/>
      <c r="I644" s="11"/>
      <c r="K644" s="12"/>
      <c r="L644" s="12"/>
      <c r="M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2.75" x14ac:dyDescent="0.2">
      <c r="A645" s="13"/>
      <c r="B645" s="13"/>
      <c r="C645" s="13"/>
      <c r="D645" s="11"/>
      <c r="H645" s="12"/>
      <c r="I645" s="11"/>
      <c r="K645" s="12"/>
      <c r="L645" s="12"/>
      <c r="M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2.75" x14ac:dyDescent="0.2">
      <c r="A646" s="13"/>
      <c r="B646" s="13"/>
      <c r="C646" s="13"/>
      <c r="D646" s="11"/>
      <c r="H646" s="12"/>
      <c r="I646" s="11"/>
      <c r="K646" s="12"/>
      <c r="L646" s="12"/>
      <c r="M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2.75" x14ac:dyDescent="0.2">
      <c r="A647" s="13"/>
      <c r="B647" s="13"/>
      <c r="C647" s="13"/>
      <c r="D647" s="11"/>
      <c r="H647" s="12"/>
      <c r="I647" s="11"/>
      <c r="K647" s="12"/>
      <c r="L647" s="12"/>
      <c r="M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2.75" x14ac:dyDescent="0.2">
      <c r="A648" s="13"/>
      <c r="B648" s="13"/>
      <c r="C648" s="13"/>
      <c r="D648" s="11"/>
      <c r="H648" s="12"/>
      <c r="I648" s="11"/>
      <c r="K648" s="12"/>
      <c r="L648" s="12"/>
      <c r="M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2.75" x14ac:dyDescent="0.2">
      <c r="A649" s="13"/>
      <c r="B649" s="13"/>
      <c r="C649" s="13"/>
      <c r="D649" s="11"/>
      <c r="H649" s="12"/>
      <c r="I649" s="11"/>
      <c r="K649" s="12"/>
      <c r="L649" s="12"/>
      <c r="M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2.75" x14ac:dyDescent="0.2">
      <c r="A650" s="13"/>
      <c r="B650" s="13"/>
      <c r="C650" s="13"/>
      <c r="D650" s="11"/>
      <c r="H650" s="12"/>
      <c r="I650" s="11"/>
      <c r="K650" s="12"/>
      <c r="L650" s="12"/>
      <c r="M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2.75" x14ac:dyDescent="0.2">
      <c r="A651" s="13"/>
      <c r="B651" s="13"/>
      <c r="C651" s="13"/>
      <c r="D651" s="11"/>
      <c r="H651" s="12"/>
      <c r="I651" s="11"/>
      <c r="K651" s="12"/>
      <c r="L651" s="12"/>
      <c r="M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2.75" x14ac:dyDescent="0.2">
      <c r="A652" s="13"/>
      <c r="B652" s="13"/>
      <c r="C652" s="13"/>
      <c r="D652" s="11"/>
      <c r="H652" s="12"/>
      <c r="I652" s="11"/>
      <c r="K652" s="12"/>
      <c r="L652" s="12"/>
      <c r="M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2.75" x14ac:dyDescent="0.2">
      <c r="A653" s="13"/>
      <c r="B653" s="13"/>
      <c r="C653" s="13"/>
      <c r="D653" s="11"/>
      <c r="H653" s="12"/>
      <c r="I653" s="11"/>
      <c r="K653" s="12"/>
      <c r="L653" s="12"/>
      <c r="M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2.75" x14ac:dyDescent="0.2">
      <c r="A654" s="13"/>
      <c r="B654" s="13"/>
      <c r="C654" s="13"/>
      <c r="D654" s="11"/>
      <c r="H654" s="12"/>
      <c r="I654" s="11"/>
      <c r="K654" s="12"/>
      <c r="L654" s="12"/>
      <c r="M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2.75" x14ac:dyDescent="0.2">
      <c r="A655" s="13"/>
      <c r="B655" s="13"/>
      <c r="C655" s="13"/>
      <c r="D655" s="11"/>
      <c r="H655" s="12"/>
      <c r="I655" s="11"/>
      <c r="K655" s="12"/>
      <c r="L655" s="12"/>
      <c r="M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2.75" x14ac:dyDescent="0.2">
      <c r="A656" s="13"/>
      <c r="B656" s="13"/>
      <c r="C656" s="13"/>
      <c r="D656" s="11"/>
      <c r="H656" s="12"/>
      <c r="I656" s="11"/>
      <c r="K656" s="12"/>
      <c r="L656" s="12"/>
      <c r="M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2.75" x14ac:dyDescent="0.2">
      <c r="A657" s="13"/>
      <c r="B657" s="13"/>
      <c r="C657" s="13"/>
      <c r="D657" s="11"/>
      <c r="H657" s="12"/>
      <c r="I657" s="11"/>
      <c r="K657" s="12"/>
      <c r="L657" s="12"/>
      <c r="M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2.75" x14ac:dyDescent="0.2">
      <c r="A658" s="13"/>
      <c r="B658" s="13"/>
      <c r="C658" s="13"/>
      <c r="D658" s="11"/>
      <c r="H658" s="12"/>
      <c r="I658" s="11"/>
      <c r="K658" s="12"/>
      <c r="L658" s="12"/>
      <c r="M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2.75" x14ac:dyDescent="0.2">
      <c r="A659" s="13"/>
      <c r="B659" s="13"/>
      <c r="C659" s="13"/>
      <c r="D659" s="11"/>
      <c r="H659" s="12"/>
      <c r="I659" s="11"/>
      <c r="K659" s="12"/>
      <c r="L659" s="12"/>
      <c r="M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2.75" x14ac:dyDescent="0.2">
      <c r="A660" s="13"/>
      <c r="B660" s="13"/>
      <c r="C660" s="13"/>
      <c r="D660" s="11"/>
      <c r="H660" s="12"/>
      <c r="I660" s="11"/>
      <c r="K660" s="12"/>
      <c r="L660" s="12"/>
      <c r="M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2.75" x14ac:dyDescent="0.2">
      <c r="A661" s="13"/>
      <c r="B661" s="13"/>
      <c r="C661" s="13"/>
      <c r="D661" s="11"/>
      <c r="H661" s="12"/>
      <c r="I661" s="11"/>
      <c r="K661" s="12"/>
      <c r="L661" s="12"/>
      <c r="M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2.75" x14ac:dyDescent="0.2">
      <c r="A662" s="13"/>
      <c r="B662" s="13"/>
      <c r="C662" s="13"/>
      <c r="D662" s="11"/>
      <c r="H662" s="12"/>
      <c r="I662" s="11"/>
      <c r="K662" s="12"/>
      <c r="L662" s="12"/>
      <c r="M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2.75" x14ac:dyDescent="0.2">
      <c r="A663" s="13"/>
      <c r="B663" s="13"/>
      <c r="C663" s="13"/>
      <c r="D663" s="11"/>
      <c r="H663" s="12"/>
      <c r="I663" s="11"/>
      <c r="K663" s="12"/>
      <c r="L663" s="12"/>
      <c r="M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2.75" x14ac:dyDescent="0.2">
      <c r="A664" s="13"/>
      <c r="B664" s="13"/>
      <c r="C664" s="13"/>
      <c r="D664" s="11"/>
      <c r="H664" s="12"/>
      <c r="I664" s="11"/>
      <c r="K664" s="12"/>
      <c r="L664" s="12"/>
      <c r="M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2.75" x14ac:dyDescent="0.2">
      <c r="A665" s="13"/>
      <c r="B665" s="13"/>
      <c r="C665" s="13"/>
      <c r="D665" s="11"/>
      <c r="H665" s="12"/>
      <c r="I665" s="11"/>
      <c r="K665" s="12"/>
      <c r="L665" s="12"/>
      <c r="M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2.75" x14ac:dyDescent="0.2">
      <c r="A666" s="13"/>
      <c r="B666" s="13"/>
      <c r="C666" s="13"/>
      <c r="D666" s="11"/>
      <c r="H666" s="12"/>
      <c r="I666" s="11"/>
      <c r="K666" s="12"/>
      <c r="L666" s="12"/>
      <c r="M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2.75" x14ac:dyDescent="0.2">
      <c r="A667" s="13"/>
      <c r="B667" s="13"/>
      <c r="C667" s="13"/>
      <c r="D667" s="11"/>
      <c r="H667" s="12"/>
      <c r="I667" s="11"/>
      <c r="K667" s="12"/>
      <c r="L667" s="12"/>
      <c r="M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2.75" x14ac:dyDescent="0.2">
      <c r="A668" s="13"/>
      <c r="B668" s="13"/>
      <c r="C668" s="13"/>
      <c r="D668" s="11"/>
      <c r="H668" s="12"/>
      <c r="I668" s="11"/>
      <c r="K668" s="12"/>
      <c r="L668" s="12"/>
      <c r="M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2.75" x14ac:dyDescent="0.2">
      <c r="A669" s="13"/>
      <c r="B669" s="13"/>
      <c r="C669" s="13"/>
      <c r="D669" s="11"/>
      <c r="H669" s="12"/>
      <c r="I669" s="11"/>
      <c r="K669" s="12"/>
      <c r="L669" s="12"/>
      <c r="M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2.75" x14ac:dyDescent="0.2">
      <c r="A670" s="13"/>
      <c r="B670" s="13"/>
      <c r="C670" s="13"/>
      <c r="D670" s="11"/>
      <c r="H670" s="12"/>
      <c r="I670" s="11"/>
      <c r="K670" s="12"/>
      <c r="L670" s="12"/>
      <c r="M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2.75" x14ac:dyDescent="0.2">
      <c r="A671" s="13"/>
      <c r="B671" s="13"/>
      <c r="C671" s="13"/>
      <c r="D671" s="11"/>
      <c r="H671" s="12"/>
      <c r="I671" s="11"/>
      <c r="K671" s="12"/>
      <c r="L671" s="12"/>
      <c r="M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2.75" x14ac:dyDescent="0.2">
      <c r="A672" s="13"/>
      <c r="B672" s="13"/>
      <c r="C672" s="13"/>
      <c r="D672" s="11"/>
      <c r="H672" s="12"/>
      <c r="I672" s="11"/>
      <c r="K672" s="12"/>
      <c r="L672" s="12"/>
      <c r="M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2.75" x14ac:dyDescent="0.2">
      <c r="A673" s="13"/>
      <c r="B673" s="13"/>
      <c r="C673" s="13"/>
      <c r="D673" s="11"/>
      <c r="H673" s="12"/>
      <c r="I673" s="11"/>
      <c r="K673" s="12"/>
      <c r="L673" s="12"/>
      <c r="M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2.75" x14ac:dyDescent="0.2">
      <c r="A674" s="13"/>
      <c r="B674" s="13"/>
      <c r="C674" s="13"/>
      <c r="D674" s="11"/>
      <c r="H674" s="12"/>
      <c r="I674" s="11"/>
      <c r="K674" s="12"/>
      <c r="L674" s="12"/>
      <c r="M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2.75" x14ac:dyDescent="0.2">
      <c r="A675" s="13"/>
      <c r="B675" s="13"/>
      <c r="C675" s="13"/>
      <c r="D675" s="11"/>
      <c r="H675" s="12"/>
      <c r="I675" s="11"/>
      <c r="K675" s="12"/>
      <c r="L675" s="12"/>
      <c r="M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2.75" x14ac:dyDescent="0.2">
      <c r="A676" s="13"/>
      <c r="B676" s="13"/>
      <c r="C676" s="13"/>
      <c r="D676" s="11"/>
      <c r="H676" s="12"/>
      <c r="I676" s="11"/>
      <c r="K676" s="12"/>
      <c r="L676" s="12"/>
      <c r="M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2.75" x14ac:dyDescent="0.2">
      <c r="A677" s="13"/>
      <c r="B677" s="13"/>
      <c r="C677" s="13"/>
      <c r="D677" s="11"/>
      <c r="H677" s="12"/>
      <c r="I677" s="11"/>
      <c r="K677" s="12"/>
      <c r="L677" s="12"/>
      <c r="M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2.75" x14ac:dyDescent="0.2">
      <c r="A678" s="13"/>
      <c r="B678" s="13"/>
      <c r="C678" s="13"/>
      <c r="D678" s="11"/>
      <c r="H678" s="12"/>
      <c r="I678" s="11"/>
      <c r="K678" s="12"/>
      <c r="L678" s="12"/>
      <c r="M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2.75" x14ac:dyDescent="0.2">
      <c r="A679" s="13"/>
      <c r="B679" s="13"/>
      <c r="C679" s="13"/>
      <c r="D679" s="11"/>
      <c r="H679" s="12"/>
      <c r="I679" s="11"/>
      <c r="K679" s="12"/>
      <c r="L679" s="12"/>
      <c r="M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2.75" x14ac:dyDescent="0.2">
      <c r="A680" s="13"/>
      <c r="B680" s="13"/>
      <c r="C680" s="13"/>
      <c r="D680" s="11"/>
      <c r="H680" s="12"/>
      <c r="I680" s="11"/>
      <c r="K680" s="12"/>
      <c r="L680" s="12"/>
      <c r="M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2.75" x14ac:dyDescent="0.2">
      <c r="A681" s="13"/>
      <c r="B681" s="13"/>
      <c r="C681" s="13"/>
      <c r="D681" s="11"/>
      <c r="H681" s="12"/>
      <c r="I681" s="11"/>
      <c r="K681" s="12"/>
      <c r="L681" s="12"/>
      <c r="M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2.75" x14ac:dyDescent="0.2">
      <c r="A682" s="13"/>
      <c r="B682" s="13"/>
      <c r="C682" s="13"/>
      <c r="D682" s="11"/>
      <c r="H682" s="12"/>
      <c r="I682" s="11"/>
      <c r="K682" s="12"/>
      <c r="L682" s="12"/>
      <c r="M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2.75" x14ac:dyDescent="0.2">
      <c r="A683" s="13"/>
      <c r="B683" s="13"/>
      <c r="C683" s="13"/>
      <c r="D683" s="11"/>
      <c r="H683" s="12"/>
      <c r="I683" s="11"/>
      <c r="K683" s="12"/>
      <c r="L683" s="12"/>
      <c r="M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2.75" x14ac:dyDescent="0.2">
      <c r="A684" s="13"/>
      <c r="B684" s="13"/>
      <c r="C684" s="13"/>
      <c r="D684" s="11"/>
      <c r="H684" s="12"/>
      <c r="I684" s="11"/>
      <c r="K684" s="12"/>
      <c r="L684" s="12"/>
      <c r="M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2.75" x14ac:dyDescent="0.2">
      <c r="A685" s="13"/>
      <c r="B685" s="13"/>
      <c r="C685" s="13"/>
      <c r="D685" s="11"/>
      <c r="H685" s="12"/>
      <c r="I685" s="11"/>
      <c r="K685" s="12"/>
      <c r="L685" s="12"/>
      <c r="M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2.75" x14ac:dyDescent="0.2">
      <c r="A686" s="13"/>
      <c r="B686" s="13"/>
      <c r="C686" s="13"/>
      <c r="D686" s="11"/>
      <c r="H686" s="12"/>
      <c r="I686" s="11"/>
      <c r="K686" s="12"/>
      <c r="L686" s="12"/>
      <c r="M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2.75" x14ac:dyDescent="0.2">
      <c r="A687" s="13"/>
      <c r="B687" s="13"/>
      <c r="C687" s="13"/>
      <c r="D687" s="11"/>
      <c r="H687" s="12"/>
      <c r="I687" s="11"/>
      <c r="K687" s="12"/>
      <c r="L687" s="12"/>
      <c r="M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2.75" x14ac:dyDescent="0.2">
      <c r="A688" s="13"/>
      <c r="B688" s="13"/>
      <c r="C688" s="13"/>
      <c r="D688" s="11"/>
      <c r="H688" s="12"/>
      <c r="I688" s="11"/>
      <c r="K688" s="12"/>
      <c r="L688" s="12"/>
      <c r="M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2.75" x14ac:dyDescent="0.2">
      <c r="A689" s="13"/>
      <c r="B689" s="13"/>
      <c r="C689" s="13"/>
      <c r="D689" s="11"/>
      <c r="H689" s="12"/>
      <c r="I689" s="11"/>
      <c r="K689" s="12"/>
      <c r="L689" s="12"/>
      <c r="M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2.75" x14ac:dyDescent="0.2">
      <c r="A690" s="13"/>
      <c r="B690" s="13"/>
      <c r="C690" s="13"/>
      <c r="D690" s="11"/>
      <c r="H690" s="12"/>
      <c r="I690" s="11"/>
      <c r="K690" s="12"/>
      <c r="L690" s="12"/>
      <c r="M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2.75" x14ac:dyDescent="0.2">
      <c r="A691" s="13"/>
      <c r="B691" s="13"/>
      <c r="C691" s="13"/>
      <c r="D691" s="11"/>
      <c r="H691" s="12"/>
      <c r="I691" s="11"/>
      <c r="K691" s="12"/>
      <c r="L691" s="12"/>
      <c r="M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2.75" x14ac:dyDescent="0.2">
      <c r="A692" s="13"/>
      <c r="B692" s="13"/>
      <c r="C692" s="13"/>
      <c r="D692" s="11"/>
      <c r="H692" s="12"/>
      <c r="I692" s="11"/>
      <c r="K692" s="12"/>
      <c r="L692" s="12"/>
      <c r="M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2.75" x14ac:dyDescent="0.2">
      <c r="A693" s="13"/>
      <c r="B693" s="13"/>
      <c r="C693" s="13"/>
      <c r="D693" s="11"/>
      <c r="H693" s="12"/>
      <c r="I693" s="11"/>
      <c r="K693" s="12"/>
      <c r="L693" s="12"/>
      <c r="M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2.75" x14ac:dyDescent="0.2">
      <c r="A694" s="13"/>
      <c r="B694" s="13"/>
      <c r="C694" s="13"/>
      <c r="D694" s="11"/>
      <c r="H694" s="12"/>
      <c r="I694" s="11"/>
      <c r="K694" s="12"/>
      <c r="L694" s="12"/>
      <c r="M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2.75" x14ac:dyDescent="0.2">
      <c r="A695" s="13"/>
      <c r="B695" s="13"/>
      <c r="C695" s="13"/>
      <c r="D695" s="11"/>
      <c r="H695" s="12"/>
      <c r="I695" s="11"/>
      <c r="K695" s="12"/>
      <c r="L695" s="12"/>
      <c r="M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2.75" x14ac:dyDescent="0.2">
      <c r="A696" s="13"/>
      <c r="B696" s="13"/>
      <c r="C696" s="13"/>
      <c r="D696" s="11"/>
      <c r="H696" s="12"/>
      <c r="I696" s="11"/>
      <c r="K696" s="12"/>
      <c r="L696" s="12"/>
      <c r="M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2.75" x14ac:dyDescent="0.2">
      <c r="A697" s="13"/>
      <c r="B697" s="13"/>
      <c r="C697" s="13"/>
      <c r="D697" s="11"/>
      <c r="H697" s="12"/>
      <c r="I697" s="11"/>
      <c r="K697" s="12"/>
      <c r="L697" s="12"/>
      <c r="M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2.75" x14ac:dyDescent="0.2">
      <c r="A698" s="13"/>
      <c r="B698" s="13"/>
      <c r="C698" s="13"/>
      <c r="D698" s="11"/>
      <c r="H698" s="12"/>
      <c r="I698" s="11"/>
      <c r="K698" s="12"/>
      <c r="L698" s="12"/>
      <c r="M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2.75" x14ac:dyDescent="0.2">
      <c r="A699" s="13"/>
      <c r="B699" s="13"/>
      <c r="C699" s="13"/>
      <c r="D699" s="11"/>
      <c r="H699" s="12"/>
      <c r="I699" s="11"/>
      <c r="K699" s="12"/>
      <c r="L699" s="12"/>
      <c r="M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2.75" x14ac:dyDescent="0.2">
      <c r="A700" s="13"/>
      <c r="B700" s="13"/>
      <c r="C700" s="13"/>
      <c r="D700" s="11"/>
      <c r="H700" s="12"/>
      <c r="I700" s="11"/>
      <c r="K700" s="12"/>
      <c r="L700" s="12"/>
      <c r="M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2.75" x14ac:dyDescent="0.2">
      <c r="A701" s="13"/>
      <c r="B701" s="13"/>
      <c r="C701" s="13"/>
      <c r="D701" s="11"/>
      <c r="H701" s="12"/>
      <c r="I701" s="11"/>
      <c r="K701" s="12"/>
      <c r="L701" s="12"/>
      <c r="M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2.75" x14ac:dyDescent="0.2">
      <c r="A702" s="13"/>
      <c r="B702" s="13"/>
      <c r="C702" s="13"/>
      <c r="D702" s="11"/>
      <c r="H702" s="12"/>
      <c r="I702" s="11"/>
      <c r="K702" s="12"/>
      <c r="L702" s="12"/>
      <c r="M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2.75" x14ac:dyDescent="0.2">
      <c r="A703" s="13"/>
      <c r="B703" s="13"/>
      <c r="C703" s="13"/>
      <c r="D703" s="11"/>
      <c r="H703" s="12"/>
      <c r="I703" s="11"/>
      <c r="K703" s="12"/>
      <c r="L703" s="12"/>
      <c r="M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2.75" x14ac:dyDescent="0.2">
      <c r="A704" s="13"/>
      <c r="B704" s="13"/>
      <c r="C704" s="13"/>
      <c r="D704" s="11"/>
      <c r="H704" s="12"/>
      <c r="I704" s="11"/>
      <c r="K704" s="12"/>
      <c r="L704" s="12"/>
      <c r="M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2.75" x14ac:dyDescent="0.2">
      <c r="A705" s="13"/>
      <c r="B705" s="13"/>
      <c r="C705" s="13"/>
      <c r="D705" s="11"/>
      <c r="H705" s="12"/>
      <c r="I705" s="11"/>
      <c r="K705" s="12"/>
      <c r="L705" s="12"/>
      <c r="M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2.75" x14ac:dyDescent="0.2">
      <c r="A706" s="13"/>
      <c r="B706" s="13"/>
      <c r="C706" s="13"/>
      <c r="D706" s="11"/>
      <c r="H706" s="12"/>
      <c r="I706" s="11"/>
      <c r="K706" s="12"/>
      <c r="L706" s="12"/>
      <c r="M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2.75" x14ac:dyDescent="0.2">
      <c r="A707" s="13"/>
      <c r="B707" s="13"/>
      <c r="C707" s="13"/>
      <c r="D707" s="11"/>
      <c r="H707" s="12"/>
      <c r="I707" s="11"/>
      <c r="K707" s="12"/>
      <c r="L707" s="12"/>
      <c r="M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2.75" x14ac:dyDescent="0.2">
      <c r="A708" s="13"/>
      <c r="B708" s="13"/>
      <c r="C708" s="13"/>
      <c r="D708" s="11"/>
      <c r="H708" s="12"/>
      <c r="I708" s="11"/>
      <c r="K708" s="12"/>
      <c r="L708" s="12"/>
      <c r="M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2.75" x14ac:dyDescent="0.2">
      <c r="A709" s="13"/>
      <c r="B709" s="13"/>
      <c r="C709" s="13"/>
      <c r="D709" s="11"/>
      <c r="H709" s="12"/>
      <c r="I709" s="11"/>
      <c r="K709" s="12"/>
      <c r="L709" s="12"/>
      <c r="M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2.75" x14ac:dyDescent="0.2">
      <c r="A710" s="13"/>
      <c r="B710" s="13"/>
      <c r="C710" s="13"/>
      <c r="D710" s="11"/>
      <c r="H710" s="12"/>
      <c r="I710" s="11"/>
      <c r="K710" s="12"/>
      <c r="L710" s="12"/>
      <c r="M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2.75" x14ac:dyDescent="0.2">
      <c r="A711" s="13"/>
      <c r="B711" s="13"/>
      <c r="C711" s="13"/>
      <c r="D711" s="11"/>
      <c r="H711" s="12"/>
      <c r="I711" s="11"/>
      <c r="K711" s="12"/>
      <c r="L711" s="12"/>
      <c r="M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2.75" x14ac:dyDescent="0.2">
      <c r="A712" s="13"/>
      <c r="B712" s="13"/>
      <c r="C712" s="13"/>
      <c r="D712" s="11"/>
      <c r="H712" s="12"/>
      <c r="I712" s="11"/>
      <c r="K712" s="12"/>
      <c r="L712" s="12"/>
      <c r="M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2.75" x14ac:dyDescent="0.2">
      <c r="A713" s="13"/>
      <c r="B713" s="13"/>
      <c r="C713" s="13"/>
      <c r="D713" s="11"/>
      <c r="H713" s="12"/>
      <c r="I713" s="11"/>
      <c r="K713" s="12"/>
      <c r="L713" s="12"/>
      <c r="M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2.75" x14ac:dyDescent="0.2">
      <c r="A714" s="13"/>
      <c r="B714" s="13"/>
      <c r="C714" s="13"/>
      <c r="D714" s="11"/>
      <c r="H714" s="12"/>
      <c r="I714" s="11"/>
      <c r="K714" s="12"/>
      <c r="L714" s="12"/>
      <c r="M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2.75" x14ac:dyDescent="0.2">
      <c r="A715" s="13"/>
      <c r="B715" s="13"/>
      <c r="C715" s="13"/>
      <c r="D715" s="11"/>
      <c r="H715" s="12"/>
      <c r="I715" s="11"/>
      <c r="K715" s="12"/>
      <c r="L715" s="12"/>
      <c r="M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2.75" x14ac:dyDescent="0.2">
      <c r="A716" s="13"/>
      <c r="B716" s="13"/>
      <c r="C716" s="13"/>
      <c r="D716" s="11"/>
      <c r="H716" s="12"/>
      <c r="I716" s="11"/>
      <c r="K716" s="12"/>
      <c r="L716" s="12"/>
      <c r="M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2.75" x14ac:dyDescent="0.2">
      <c r="A717" s="13"/>
      <c r="B717" s="13"/>
      <c r="C717" s="13"/>
      <c r="D717" s="11"/>
      <c r="H717" s="12"/>
      <c r="I717" s="11"/>
      <c r="K717" s="12"/>
      <c r="L717" s="12"/>
      <c r="M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2.75" x14ac:dyDescent="0.2">
      <c r="A718" s="13"/>
      <c r="B718" s="13"/>
      <c r="C718" s="13"/>
      <c r="D718" s="11"/>
      <c r="H718" s="12"/>
      <c r="I718" s="11"/>
      <c r="K718" s="12"/>
      <c r="L718" s="12"/>
      <c r="M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2.75" x14ac:dyDescent="0.2">
      <c r="A719" s="13"/>
      <c r="B719" s="13"/>
      <c r="C719" s="13"/>
      <c r="D719" s="11"/>
      <c r="H719" s="12"/>
      <c r="I719" s="11"/>
      <c r="K719" s="12"/>
      <c r="L719" s="12"/>
      <c r="M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2.75" x14ac:dyDescent="0.2">
      <c r="A720" s="13"/>
      <c r="B720" s="13"/>
      <c r="C720" s="13"/>
      <c r="D720" s="11"/>
      <c r="H720" s="12"/>
      <c r="I720" s="11"/>
      <c r="K720" s="12"/>
      <c r="L720" s="12"/>
      <c r="M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2.75" x14ac:dyDescent="0.2">
      <c r="A721" s="13"/>
      <c r="B721" s="13"/>
      <c r="C721" s="13"/>
      <c r="D721" s="11"/>
      <c r="H721" s="12"/>
      <c r="I721" s="11"/>
      <c r="K721" s="12"/>
      <c r="L721" s="12"/>
      <c r="M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2.75" x14ac:dyDescent="0.2">
      <c r="A722" s="13"/>
      <c r="B722" s="13"/>
      <c r="C722" s="13"/>
      <c r="D722" s="11"/>
      <c r="H722" s="12"/>
      <c r="I722" s="11"/>
      <c r="K722" s="12"/>
      <c r="L722" s="12"/>
      <c r="M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2.75" x14ac:dyDescent="0.2">
      <c r="A723" s="13"/>
      <c r="B723" s="13"/>
      <c r="C723" s="13"/>
      <c r="D723" s="11"/>
      <c r="H723" s="12"/>
      <c r="I723" s="11"/>
      <c r="K723" s="12"/>
      <c r="L723" s="12"/>
      <c r="M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2.75" x14ac:dyDescent="0.2">
      <c r="A724" s="13"/>
      <c r="B724" s="13"/>
      <c r="C724" s="13"/>
      <c r="D724" s="11"/>
      <c r="H724" s="12"/>
      <c r="I724" s="11"/>
      <c r="K724" s="12"/>
      <c r="L724" s="12"/>
      <c r="M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2.75" x14ac:dyDescent="0.2">
      <c r="A725" s="13"/>
      <c r="B725" s="13"/>
      <c r="C725" s="13"/>
      <c r="D725" s="11"/>
      <c r="H725" s="12"/>
      <c r="I725" s="11"/>
      <c r="K725" s="12"/>
      <c r="L725" s="12"/>
      <c r="M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2.75" x14ac:dyDescent="0.2">
      <c r="A726" s="13"/>
      <c r="B726" s="13"/>
      <c r="C726" s="13"/>
      <c r="D726" s="11"/>
      <c r="H726" s="12"/>
      <c r="I726" s="11"/>
      <c r="K726" s="12"/>
      <c r="L726" s="12"/>
      <c r="M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2.75" x14ac:dyDescent="0.2">
      <c r="A727" s="13"/>
      <c r="B727" s="13"/>
      <c r="C727" s="13"/>
      <c r="D727" s="11"/>
      <c r="H727" s="12"/>
      <c r="I727" s="11"/>
      <c r="K727" s="12"/>
      <c r="L727" s="12"/>
      <c r="M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2.75" x14ac:dyDescent="0.2">
      <c r="A728" s="13"/>
      <c r="B728" s="13"/>
      <c r="C728" s="13"/>
      <c r="D728" s="11"/>
      <c r="H728" s="12"/>
      <c r="I728" s="11"/>
      <c r="K728" s="12"/>
      <c r="L728" s="12"/>
      <c r="M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2.75" x14ac:dyDescent="0.2">
      <c r="A729" s="13"/>
      <c r="B729" s="13"/>
      <c r="C729" s="13"/>
      <c r="D729" s="11"/>
      <c r="H729" s="12"/>
      <c r="I729" s="11"/>
      <c r="K729" s="12"/>
      <c r="L729" s="12"/>
      <c r="M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2.75" x14ac:dyDescent="0.2">
      <c r="A730" s="13"/>
      <c r="B730" s="13"/>
      <c r="C730" s="13"/>
      <c r="D730" s="11"/>
      <c r="H730" s="12"/>
      <c r="I730" s="11"/>
      <c r="K730" s="12"/>
      <c r="L730" s="12"/>
      <c r="M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2.75" x14ac:dyDescent="0.2">
      <c r="A731" s="13"/>
      <c r="B731" s="13"/>
      <c r="C731" s="13"/>
      <c r="D731" s="11"/>
      <c r="H731" s="12"/>
      <c r="I731" s="11"/>
      <c r="K731" s="12"/>
      <c r="L731" s="12"/>
      <c r="M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2.75" x14ac:dyDescent="0.2">
      <c r="A732" s="13"/>
      <c r="B732" s="13"/>
      <c r="C732" s="13"/>
      <c r="D732" s="11"/>
      <c r="H732" s="12"/>
      <c r="I732" s="11"/>
      <c r="K732" s="12"/>
      <c r="L732" s="12"/>
      <c r="M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2.75" x14ac:dyDescent="0.2">
      <c r="A733" s="13"/>
      <c r="B733" s="13"/>
      <c r="C733" s="13"/>
      <c r="D733" s="11"/>
      <c r="H733" s="12"/>
      <c r="I733" s="11"/>
      <c r="K733" s="12"/>
      <c r="L733" s="12"/>
      <c r="M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2.75" x14ac:dyDescent="0.2">
      <c r="A734" s="13"/>
      <c r="B734" s="13"/>
      <c r="C734" s="13"/>
      <c r="D734" s="11"/>
      <c r="H734" s="12"/>
      <c r="I734" s="11"/>
      <c r="K734" s="12"/>
      <c r="L734" s="12"/>
      <c r="M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2.75" x14ac:dyDescent="0.2">
      <c r="A735" s="13"/>
      <c r="B735" s="13"/>
      <c r="C735" s="13"/>
      <c r="D735" s="11"/>
      <c r="H735" s="12"/>
      <c r="I735" s="11"/>
      <c r="K735" s="12"/>
      <c r="L735" s="12"/>
      <c r="M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2.75" x14ac:dyDescent="0.2">
      <c r="A736" s="13"/>
      <c r="B736" s="13"/>
      <c r="C736" s="13"/>
      <c r="D736" s="11"/>
      <c r="H736" s="12"/>
      <c r="I736" s="11"/>
      <c r="K736" s="12"/>
      <c r="L736" s="12"/>
      <c r="M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2.75" x14ac:dyDescent="0.2">
      <c r="A737" s="13"/>
      <c r="B737" s="13"/>
      <c r="C737" s="13"/>
      <c r="D737" s="11"/>
      <c r="H737" s="12"/>
      <c r="I737" s="11"/>
      <c r="K737" s="12"/>
      <c r="L737" s="12"/>
      <c r="M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2.75" x14ac:dyDescent="0.2">
      <c r="A738" s="13"/>
      <c r="B738" s="13"/>
      <c r="C738" s="13"/>
      <c r="D738" s="11"/>
      <c r="H738" s="12"/>
      <c r="I738" s="11"/>
      <c r="K738" s="12"/>
      <c r="L738" s="12"/>
      <c r="M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2.75" x14ac:dyDescent="0.2">
      <c r="A739" s="13"/>
      <c r="B739" s="13"/>
      <c r="C739" s="13"/>
      <c r="D739" s="11"/>
      <c r="H739" s="12"/>
      <c r="I739" s="11"/>
      <c r="K739" s="12"/>
      <c r="L739" s="12"/>
      <c r="M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2.75" x14ac:dyDescent="0.2">
      <c r="A740" s="13"/>
      <c r="B740" s="13"/>
      <c r="C740" s="13"/>
      <c r="D740" s="11"/>
      <c r="H740" s="12"/>
      <c r="I740" s="11"/>
      <c r="K740" s="12"/>
      <c r="L740" s="12"/>
      <c r="M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2.75" x14ac:dyDescent="0.2">
      <c r="A741" s="13"/>
      <c r="B741" s="13"/>
      <c r="C741" s="13"/>
      <c r="D741" s="11"/>
      <c r="H741" s="12"/>
      <c r="I741" s="11"/>
      <c r="K741" s="12"/>
      <c r="L741" s="12"/>
      <c r="M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2.75" x14ac:dyDescent="0.2">
      <c r="A742" s="13"/>
      <c r="B742" s="13"/>
      <c r="C742" s="13"/>
      <c r="D742" s="11"/>
      <c r="H742" s="12"/>
      <c r="I742" s="11"/>
      <c r="K742" s="12"/>
      <c r="L742" s="12"/>
      <c r="M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2.75" x14ac:dyDescent="0.2">
      <c r="A743" s="13"/>
      <c r="B743" s="13"/>
      <c r="C743" s="13"/>
      <c r="D743" s="11"/>
      <c r="H743" s="12"/>
      <c r="I743" s="11"/>
      <c r="K743" s="12"/>
      <c r="L743" s="12"/>
      <c r="M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2.75" x14ac:dyDescent="0.2">
      <c r="A744" s="13"/>
      <c r="B744" s="13"/>
      <c r="C744" s="13"/>
      <c r="D744" s="11"/>
      <c r="H744" s="12"/>
      <c r="I744" s="11"/>
      <c r="K744" s="12"/>
      <c r="L744" s="12"/>
      <c r="M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2.75" x14ac:dyDescent="0.2">
      <c r="A745" s="13"/>
      <c r="B745" s="13"/>
      <c r="C745" s="13"/>
      <c r="D745" s="11"/>
      <c r="H745" s="12"/>
      <c r="I745" s="11"/>
      <c r="K745" s="12"/>
      <c r="L745" s="12"/>
      <c r="M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2.75" x14ac:dyDescent="0.2">
      <c r="A746" s="13"/>
      <c r="B746" s="13"/>
      <c r="C746" s="13"/>
      <c r="D746" s="11"/>
      <c r="H746" s="12"/>
      <c r="I746" s="11"/>
      <c r="K746" s="12"/>
      <c r="L746" s="12"/>
      <c r="M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2.75" x14ac:dyDescent="0.2">
      <c r="A747" s="13"/>
      <c r="B747" s="13"/>
      <c r="C747" s="13"/>
      <c r="D747" s="11"/>
      <c r="H747" s="12"/>
      <c r="I747" s="11"/>
      <c r="K747" s="12"/>
      <c r="L747" s="12"/>
      <c r="M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2.75" x14ac:dyDescent="0.2">
      <c r="A748" s="13"/>
      <c r="B748" s="13"/>
      <c r="C748" s="13"/>
      <c r="D748" s="11"/>
      <c r="H748" s="12"/>
      <c r="I748" s="11"/>
      <c r="K748" s="12"/>
      <c r="L748" s="12"/>
      <c r="M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2.75" x14ac:dyDescent="0.2">
      <c r="A749" s="13"/>
      <c r="B749" s="13"/>
      <c r="C749" s="13"/>
      <c r="D749" s="11"/>
      <c r="H749" s="12"/>
      <c r="I749" s="11"/>
      <c r="K749" s="12"/>
      <c r="L749" s="12"/>
      <c r="M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2.75" x14ac:dyDescent="0.2">
      <c r="A750" s="13"/>
      <c r="B750" s="13"/>
      <c r="C750" s="13"/>
      <c r="D750" s="11"/>
      <c r="H750" s="12"/>
      <c r="I750" s="11"/>
      <c r="K750" s="12"/>
      <c r="L750" s="12"/>
      <c r="M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2.75" x14ac:dyDescent="0.2">
      <c r="A751" s="13"/>
      <c r="B751" s="13"/>
      <c r="C751" s="13"/>
      <c r="D751" s="11"/>
      <c r="H751" s="12"/>
      <c r="I751" s="11"/>
      <c r="K751" s="12"/>
      <c r="L751" s="12"/>
      <c r="M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2.75" x14ac:dyDescent="0.2">
      <c r="A752" s="13"/>
      <c r="B752" s="13"/>
      <c r="C752" s="13"/>
      <c r="D752" s="11"/>
      <c r="H752" s="12"/>
      <c r="I752" s="11"/>
      <c r="K752" s="12"/>
      <c r="L752" s="12"/>
      <c r="M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2.75" x14ac:dyDescent="0.2">
      <c r="A753" s="13"/>
      <c r="B753" s="13"/>
      <c r="C753" s="13"/>
      <c r="D753" s="11"/>
      <c r="H753" s="12"/>
      <c r="I753" s="11"/>
      <c r="K753" s="12"/>
      <c r="L753" s="12"/>
      <c r="M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2.75" x14ac:dyDescent="0.2">
      <c r="A754" s="13"/>
      <c r="B754" s="13"/>
      <c r="C754" s="13"/>
      <c r="D754" s="11"/>
      <c r="H754" s="12"/>
      <c r="I754" s="11"/>
      <c r="K754" s="12"/>
      <c r="L754" s="12"/>
      <c r="M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2.75" x14ac:dyDescent="0.2">
      <c r="A755" s="13"/>
      <c r="B755" s="13"/>
      <c r="C755" s="13"/>
      <c r="D755" s="11"/>
      <c r="H755" s="12"/>
      <c r="I755" s="11"/>
      <c r="K755" s="12"/>
      <c r="L755" s="12"/>
      <c r="M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2.75" x14ac:dyDescent="0.2">
      <c r="A756" s="13"/>
      <c r="B756" s="13"/>
      <c r="C756" s="13"/>
      <c r="D756" s="11"/>
      <c r="H756" s="12"/>
      <c r="I756" s="11"/>
      <c r="K756" s="12"/>
      <c r="L756" s="12"/>
      <c r="M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2.75" x14ac:dyDescent="0.2">
      <c r="A757" s="13"/>
      <c r="B757" s="13"/>
      <c r="C757" s="13"/>
      <c r="D757" s="11"/>
      <c r="H757" s="12"/>
      <c r="I757" s="11"/>
      <c r="K757" s="12"/>
      <c r="L757" s="12"/>
      <c r="M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2.75" x14ac:dyDescent="0.2">
      <c r="A758" s="13"/>
      <c r="B758" s="13"/>
      <c r="C758" s="13"/>
      <c r="D758" s="11"/>
      <c r="H758" s="12"/>
      <c r="I758" s="11"/>
      <c r="K758" s="12"/>
      <c r="L758" s="12"/>
      <c r="M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2.75" x14ac:dyDescent="0.2">
      <c r="A759" s="13"/>
      <c r="B759" s="13"/>
      <c r="C759" s="13"/>
      <c r="D759" s="11"/>
      <c r="H759" s="12"/>
      <c r="I759" s="11"/>
      <c r="K759" s="12"/>
      <c r="L759" s="12"/>
      <c r="M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2.75" x14ac:dyDescent="0.2">
      <c r="A760" s="13"/>
      <c r="B760" s="13"/>
      <c r="C760" s="13"/>
      <c r="D760" s="11"/>
      <c r="H760" s="12"/>
      <c r="I760" s="11"/>
      <c r="K760" s="12"/>
      <c r="L760" s="12"/>
      <c r="M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2.75" x14ac:dyDescent="0.2">
      <c r="A761" s="13"/>
      <c r="B761" s="13"/>
      <c r="C761" s="13"/>
      <c r="D761" s="11"/>
      <c r="H761" s="12"/>
      <c r="I761" s="11"/>
      <c r="K761" s="12"/>
      <c r="L761" s="12"/>
      <c r="M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2.75" x14ac:dyDescent="0.2">
      <c r="A762" s="13"/>
      <c r="B762" s="13"/>
      <c r="C762" s="13"/>
      <c r="D762" s="11"/>
      <c r="H762" s="12"/>
      <c r="I762" s="11"/>
      <c r="K762" s="12"/>
      <c r="L762" s="12"/>
      <c r="M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2.75" x14ac:dyDescent="0.2">
      <c r="A763" s="13"/>
      <c r="B763" s="13"/>
      <c r="C763" s="13"/>
      <c r="D763" s="11"/>
      <c r="H763" s="12"/>
      <c r="I763" s="11"/>
      <c r="K763" s="12"/>
      <c r="L763" s="12"/>
      <c r="M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2.75" x14ac:dyDescent="0.2">
      <c r="A764" s="13"/>
      <c r="B764" s="13"/>
      <c r="C764" s="13"/>
      <c r="D764" s="11"/>
      <c r="H764" s="12"/>
      <c r="I764" s="11"/>
      <c r="K764" s="12"/>
      <c r="L764" s="12"/>
      <c r="M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2.75" x14ac:dyDescent="0.2">
      <c r="A765" s="13"/>
      <c r="B765" s="13"/>
      <c r="C765" s="13"/>
      <c r="D765" s="11"/>
      <c r="H765" s="12"/>
      <c r="I765" s="11"/>
      <c r="K765" s="12"/>
      <c r="L765" s="12"/>
      <c r="M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2.75" x14ac:dyDescent="0.2">
      <c r="A766" s="13"/>
      <c r="B766" s="13"/>
      <c r="C766" s="13"/>
      <c r="D766" s="11"/>
      <c r="H766" s="12"/>
      <c r="I766" s="11"/>
      <c r="K766" s="12"/>
      <c r="L766" s="12"/>
      <c r="M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2.75" x14ac:dyDescent="0.2">
      <c r="A767" s="13"/>
      <c r="B767" s="13"/>
      <c r="C767" s="13"/>
      <c r="D767" s="11"/>
      <c r="H767" s="12"/>
      <c r="I767" s="11"/>
      <c r="K767" s="12"/>
      <c r="L767" s="12"/>
      <c r="M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2.75" x14ac:dyDescent="0.2">
      <c r="A768" s="13"/>
      <c r="B768" s="13"/>
      <c r="C768" s="13"/>
      <c r="D768" s="11"/>
      <c r="H768" s="12"/>
      <c r="I768" s="11"/>
      <c r="K768" s="12"/>
      <c r="L768" s="12"/>
      <c r="M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2.75" x14ac:dyDescent="0.2">
      <c r="A769" s="13"/>
      <c r="B769" s="13"/>
      <c r="C769" s="13"/>
      <c r="D769" s="11"/>
      <c r="H769" s="12"/>
      <c r="I769" s="11"/>
      <c r="K769" s="12"/>
      <c r="L769" s="12"/>
      <c r="M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2.75" x14ac:dyDescent="0.2">
      <c r="A770" s="13"/>
      <c r="B770" s="13"/>
      <c r="C770" s="13"/>
      <c r="D770" s="11"/>
      <c r="H770" s="12"/>
      <c r="I770" s="11"/>
      <c r="K770" s="12"/>
      <c r="L770" s="12"/>
      <c r="M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2.75" x14ac:dyDescent="0.2">
      <c r="A771" s="13"/>
      <c r="B771" s="13"/>
      <c r="C771" s="13"/>
      <c r="D771" s="11"/>
      <c r="H771" s="12"/>
      <c r="I771" s="11"/>
      <c r="K771" s="12"/>
      <c r="L771" s="12"/>
      <c r="M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2.75" x14ac:dyDescent="0.2">
      <c r="A772" s="13"/>
      <c r="B772" s="13"/>
      <c r="C772" s="13"/>
      <c r="D772" s="11"/>
      <c r="H772" s="12"/>
      <c r="I772" s="11"/>
      <c r="K772" s="12"/>
      <c r="L772" s="12"/>
      <c r="M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2.75" x14ac:dyDescent="0.2">
      <c r="A773" s="13"/>
      <c r="B773" s="13"/>
      <c r="C773" s="13"/>
      <c r="D773" s="11"/>
      <c r="H773" s="12"/>
      <c r="I773" s="11"/>
      <c r="K773" s="12"/>
      <c r="L773" s="12"/>
      <c r="M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2.75" x14ac:dyDescent="0.2">
      <c r="A774" s="13"/>
      <c r="B774" s="13"/>
      <c r="C774" s="13"/>
      <c r="D774" s="11"/>
      <c r="H774" s="12"/>
      <c r="I774" s="11"/>
      <c r="K774" s="12"/>
      <c r="L774" s="12"/>
      <c r="M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2.75" x14ac:dyDescent="0.2">
      <c r="A775" s="13"/>
      <c r="B775" s="13"/>
      <c r="C775" s="13"/>
      <c r="D775" s="11"/>
      <c r="H775" s="12"/>
      <c r="I775" s="11"/>
      <c r="K775" s="12"/>
      <c r="L775" s="12"/>
      <c r="M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2.75" x14ac:dyDescent="0.2">
      <c r="A776" s="13"/>
      <c r="B776" s="13"/>
      <c r="C776" s="13"/>
      <c r="D776" s="11"/>
      <c r="H776" s="12"/>
      <c r="I776" s="11"/>
      <c r="K776" s="12"/>
      <c r="L776" s="12"/>
      <c r="M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2.75" x14ac:dyDescent="0.2">
      <c r="A777" s="13"/>
      <c r="B777" s="13"/>
      <c r="C777" s="13"/>
      <c r="D777" s="11"/>
      <c r="H777" s="12"/>
      <c r="I777" s="11"/>
      <c r="K777" s="12"/>
      <c r="L777" s="12"/>
      <c r="M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2.75" x14ac:dyDescent="0.2">
      <c r="A778" s="13"/>
      <c r="B778" s="13"/>
      <c r="C778" s="13"/>
      <c r="D778" s="11"/>
      <c r="H778" s="12"/>
      <c r="I778" s="11"/>
      <c r="K778" s="12"/>
      <c r="L778" s="12"/>
      <c r="M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2.75" x14ac:dyDescent="0.2">
      <c r="A779" s="13"/>
      <c r="B779" s="13"/>
      <c r="C779" s="13"/>
      <c r="D779" s="11"/>
      <c r="H779" s="12"/>
      <c r="I779" s="11"/>
      <c r="K779" s="12"/>
      <c r="L779" s="12"/>
      <c r="M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2.75" x14ac:dyDescent="0.2">
      <c r="A780" s="13"/>
      <c r="B780" s="13"/>
      <c r="C780" s="13"/>
      <c r="D780" s="11"/>
      <c r="H780" s="12"/>
      <c r="I780" s="11"/>
      <c r="K780" s="12"/>
      <c r="L780" s="12"/>
      <c r="M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2.75" x14ac:dyDescent="0.2">
      <c r="A781" s="13"/>
      <c r="B781" s="13"/>
      <c r="C781" s="13"/>
      <c r="D781" s="11"/>
      <c r="H781" s="12"/>
      <c r="I781" s="11"/>
      <c r="K781" s="12"/>
      <c r="L781" s="12"/>
      <c r="M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2.75" x14ac:dyDescent="0.2">
      <c r="A782" s="13"/>
      <c r="B782" s="13"/>
      <c r="C782" s="13"/>
      <c r="D782" s="11"/>
      <c r="H782" s="12"/>
      <c r="I782" s="11"/>
      <c r="K782" s="12"/>
      <c r="L782" s="12"/>
      <c r="M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2.75" x14ac:dyDescent="0.2">
      <c r="A783" s="13"/>
      <c r="B783" s="13"/>
      <c r="C783" s="13"/>
      <c r="D783" s="11"/>
      <c r="H783" s="12"/>
      <c r="I783" s="11"/>
      <c r="K783" s="12"/>
      <c r="L783" s="12"/>
      <c r="M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2.75" x14ac:dyDescent="0.2">
      <c r="A784" s="13"/>
      <c r="B784" s="13"/>
      <c r="C784" s="13"/>
      <c r="D784" s="11"/>
      <c r="H784" s="12"/>
      <c r="I784" s="11"/>
      <c r="K784" s="12"/>
      <c r="L784" s="12"/>
      <c r="M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2.75" x14ac:dyDescent="0.2">
      <c r="A785" s="13"/>
      <c r="B785" s="13"/>
      <c r="C785" s="13"/>
      <c r="D785" s="11"/>
      <c r="H785" s="12"/>
      <c r="I785" s="11"/>
      <c r="K785" s="12"/>
      <c r="L785" s="12"/>
      <c r="M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2.75" x14ac:dyDescent="0.2">
      <c r="A786" s="13"/>
      <c r="B786" s="13"/>
      <c r="C786" s="13"/>
      <c r="D786" s="11"/>
      <c r="H786" s="12"/>
      <c r="I786" s="11"/>
      <c r="K786" s="12"/>
      <c r="L786" s="12"/>
      <c r="M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2.75" x14ac:dyDescent="0.2">
      <c r="A787" s="13"/>
      <c r="B787" s="13"/>
      <c r="C787" s="13"/>
      <c r="D787" s="11"/>
      <c r="H787" s="12"/>
      <c r="I787" s="11"/>
      <c r="K787" s="12"/>
      <c r="L787" s="12"/>
      <c r="M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2.75" x14ac:dyDescent="0.2">
      <c r="A788" s="13"/>
      <c r="B788" s="13"/>
      <c r="C788" s="13"/>
      <c r="D788" s="11"/>
      <c r="H788" s="12"/>
      <c r="I788" s="11"/>
      <c r="K788" s="12"/>
      <c r="L788" s="12"/>
      <c r="M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2.75" x14ac:dyDescent="0.2">
      <c r="A789" s="13"/>
      <c r="B789" s="13"/>
      <c r="C789" s="13"/>
      <c r="D789" s="11"/>
      <c r="H789" s="12"/>
      <c r="I789" s="11"/>
      <c r="K789" s="12"/>
      <c r="L789" s="12"/>
      <c r="M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2.75" x14ac:dyDescent="0.2">
      <c r="A790" s="13"/>
      <c r="B790" s="13"/>
      <c r="C790" s="13"/>
      <c r="D790" s="11"/>
      <c r="H790" s="12"/>
      <c r="I790" s="11"/>
      <c r="K790" s="12"/>
      <c r="L790" s="12"/>
      <c r="M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2.75" x14ac:dyDescent="0.2">
      <c r="A791" s="13"/>
      <c r="B791" s="13"/>
      <c r="C791" s="13"/>
      <c r="D791" s="11"/>
      <c r="H791" s="12"/>
      <c r="I791" s="11"/>
      <c r="K791" s="12"/>
      <c r="L791" s="12"/>
      <c r="M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2.75" x14ac:dyDescent="0.2">
      <c r="A792" s="13"/>
      <c r="B792" s="13"/>
      <c r="C792" s="13"/>
      <c r="D792" s="11"/>
      <c r="H792" s="12"/>
      <c r="I792" s="11"/>
      <c r="K792" s="12"/>
      <c r="L792" s="12"/>
      <c r="M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2.75" x14ac:dyDescent="0.2">
      <c r="A793" s="13"/>
      <c r="B793" s="13"/>
      <c r="C793" s="13"/>
      <c r="D793" s="11"/>
      <c r="H793" s="12"/>
      <c r="I793" s="11"/>
      <c r="K793" s="12"/>
      <c r="L793" s="12"/>
      <c r="M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2.75" x14ac:dyDescent="0.2">
      <c r="A794" s="13"/>
      <c r="B794" s="13"/>
      <c r="C794" s="13"/>
      <c r="D794" s="11"/>
      <c r="H794" s="12"/>
      <c r="I794" s="11"/>
      <c r="K794" s="12"/>
      <c r="L794" s="12"/>
      <c r="M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2.75" x14ac:dyDescent="0.2">
      <c r="A795" s="13"/>
      <c r="B795" s="13"/>
      <c r="C795" s="13"/>
      <c r="D795" s="11"/>
      <c r="H795" s="12"/>
      <c r="I795" s="11"/>
      <c r="K795" s="12"/>
      <c r="L795" s="12"/>
      <c r="M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2.75" x14ac:dyDescent="0.2">
      <c r="A796" s="13"/>
      <c r="B796" s="13"/>
      <c r="C796" s="13"/>
      <c r="D796" s="11"/>
      <c r="H796" s="12"/>
      <c r="I796" s="11"/>
      <c r="K796" s="12"/>
      <c r="L796" s="12"/>
      <c r="M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2.75" x14ac:dyDescent="0.2">
      <c r="A797" s="13"/>
      <c r="B797" s="13"/>
      <c r="C797" s="13"/>
      <c r="D797" s="11"/>
      <c r="H797" s="12"/>
      <c r="I797" s="11"/>
      <c r="K797" s="12"/>
      <c r="L797" s="12"/>
      <c r="M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2.75" x14ac:dyDescent="0.2">
      <c r="A798" s="13"/>
      <c r="B798" s="13"/>
      <c r="C798" s="13"/>
      <c r="D798" s="11"/>
      <c r="H798" s="12"/>
      <c r="I798" s="11"/>
      <c r="K798" s="12"/>
      <c r="L798" s="12"/>
      <c r="M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2.75" x14ac:dyDescent="0.2">
      <c r="A799" s="13"/>
      <c r="B799" s="13"/>
      <c r="C799" s="13"/>
      <c r="D799" s="11"/>
      <c r="H799" s="12"/>
      <c r="I799" s="11"/>
      <c r="K799" s="12"/>
      <c r="L799" s="12"/>
      <c r="M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2.75" x14ac:dyDescent="0.2">
      <c r="A800" s="13"/>
      <c r="B800" s="13"/>
      <c r="C800" s="13"/>
      <c r="D800" s="11"/>
      <c r="H800" s="12"/>
      <c r="I800" s="11"/>
      <c r="K800" s="12"/>
      <c r="L800" s="12"/>
      <c r="M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2.75" x14ac:dyDescent="0.2">
      <c r="A801" s="13"/>
      <c r="B801" s="13"/>
      <c r="C801" s="13"/>
      <c r="D801" s="11"/>
      <c r="H801" s="12"/>
      <c r="I801" s="11"/>
      <c r="K801" s="12"/>
      <c r="L801" s="12"/>
      <c r="M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2.75" x14ac:dyDescent="0.2">
      <c r="A802" s="13"/>
      <c r="B802" s="13"/>
      <c r="C802" s="13"/>
      <c r="D802" s="11"/>
      <c r="H802" s="12"/>
      <c r="I802" s="11"/>
      <c r="K802" s="12"/>
      <c r="L802" s="12"/>
      <c r="M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2.75" x14ac:dyDescent="0.2">
      <c r="A803" s="13"/>
      <c r="B803" s="13"/>
      <c r="C803" s="13"/>
      <c r="D803" s="11"/>
      <c r="H803" s="12"/>
      <c r="I803" s="11"/>
      <c r="K803" s="12"/>
      <c r="L803" s="12"/>
      <c r="M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2.75" x14ac:dyDescent="0.2">
      <c r="A804" s="13"/>
      <c r="B804" s="13"/>
      <c r="C804" s="13"/>
      <c r="D804" s="11"/>
      <c r="H804" s="12"/>
      <c r="I804" s="11"/>
      <c r="K804" s="12"/>
      <c r="L804" s="12"/>
      <c r="M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2.75" x14ac:dyDescent="0.2">
      <c r="A805" s="13"/>
      <c r="B805" s="13"/>
      <c r="C805" s="13"/>
      <c r="D805" s="11"/>
      <c r="H805" s="12"/>
      <c r="I805" s="11"/>
      <c r="K805" s="12"/>
      <c r="L805" s="12"/>
      <c r="M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2.75" x14ac:dyDescent="0.2">
      <c r="A806" s="13"/>
      <c r="B806" s="13"/>
      <c r="C806" s="13"/>
      <c r="D806" s="11"/>
      <c r="H806" s="12"/>
      <c r="I806" s="11"/>
      <c r="K806" s="12"/>
      <c r="L806" s="12"/>
      <c r="M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2.75" x14ac:dyDescent="0.2">
      <c r="A807" s="13"/>
      <c r="B807" s="13"/>
      <c r="C807" s="13"/>
      <c r="D807" s="11"/>
      <c r="H807" s="12"/>
      <c r="I807" s="11"/>
      <c r="K807" s="12"/>
      <c r="L807" s="12"/>
      <c r="M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2.75" x14ac:dyDescent="0.2">
      <c r="A808" s="13"/>
      <c r="B808" s="13"/>
      <c r="C808" s="13"/>
      <c r="D808" s="11"/>
      <c r="H808" s="12"/>
      <c r="I808" s="11"/>
      <c r="K808" s="12"/>
      <c r="L808" s="12"/>
      <c r="M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2.75" x14ac:dyDescent="0.2">
      <c r="A809" s="13"/>
      <c r="B809" s="13"/>
      <c r="C809" s="13"/>
      <c r="D809" s="11"/>
      <c r="H809" s="12"/>
      <c r="I809" s="11"/>
      <c r="K809" s="12"/>
      <c r="L809" s="12"/>
      <c r="M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2.75" x14ac:dyDescent="0.2">
      <c r="A810" s="13"/>
      <c r="B810" s="13"/>
      <c r="C810" s="13"/>
      <c r="D810" s="11"/>
      <c r="H810" s="12"/>
      <c r="I810" s="11"/>
      <c r="K810" s="12"/>
      <c r="L810" s="12"/>
      <c r="M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2.75" x14ac:dyDescent="0.2">
      <c r="A811" s="13"/>
      <c r="B811" s="13"/>
      <c r="C811" s="13"/>
      <c r="D811" s="11"/>
      <c r="H811" s="12"/>
      <c r="I811" s="11"/>
      <c r="K811" s="12"/>
      <c r="L811" s="12"/>
      <c r="M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2.75" x14ac:dyDescent="0.2">
      <c r="A812" s="13"/>
      <c r="B812" s="13"/>
      <c r="C812" s="13"/>
      <c r="D812" s="11"/>
      <c r="H812" s="12"/>
      <c r="I812" s="11"/>
      <c r="K812" s="12"/>
      <c r="L812" s="12"/>
      <c r="M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2.75" x14ac:dyDescent="0.2">
      <c r="A813" s="13"/>
      <c r="B813" s="13"/>
      <c r="C813" s="13"/>
      <c r="D813" s="11"/>
      <c r="H813" s="12"/>
      <c r="I813" s="11"/>
      <c r="K813" s="12"/>
      <c r="L813" s="12"/>
      <c r="M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2.75" x14ac:dyDescent="0.2">
      <c r="A814" s="13"/>
      <c r="B814" s="13"/>
      <c r="C814" s="13"/>
      <c r="D814" s="11"/>
      <c r="H814" s="12"/>
      <c r="I814" s="11"/>
      <c r="K814" s="12"/>
      <c r="L814" s="12"/>
      <c r="M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2.75" x14ac:dyDescent="0.2">
      <c r="A815" s="13"/>
      <c r="B815" s="13"/>
      <c r="C815" s="13"/>
      <c r="D815" s="11"/>
      <c r="H815" s="12"/>
      <c r="I815" s="11"/>
      <c r="K815" s="12"/>
      <c r="L815" s="12"/>
      <c r="M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2.75" x14ac:dyDescent="0.2">
      <c r="A816" s="13"/>
      <c r="B816" s="13"/>
      <c r="C816" s="13"/>
      <c r="D816" s="11"/>
      <c r="H816" s="12"/>
      <c r="I816" s="11"/>
      <c r="K816" s="12"/>
      <c r="L816" s="12"/>
      <c r="M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2.75" x14ac:dyDescent="0.2">
      <c r="A817" s="13"/>
      <c r="B817" s="13"/>
      <c r="C817" s="13"/>
      <c r="D817" s="11"/>
      <c r="H817" s="12"/>
      <c r="I817" s="11"/>
      <c r="K817" s="12"/>
      <c r="L817" s="12"/>
      <c r="M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2.75" x14ac:dyDescent="0.2">
      <c r="A818" s="13"/>
      <c r="B818" s="13"/>
      <c r="C818" s="13"/>
      <c r="D818" s="11"/>
      <c r="H818" s="12"/>
      <c r="I818" s="11"/>
      <c r="K818" s="12"/>
      <c r="L818" s="12"/>
      <c r="M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2.75" x14ac:dyDescent="0.2">
      <c r="A819" s="13"/>
      <c r="B819" s="13"/>
      <c r="C819" s="13"/>
      <c r="D819" s="11"/>
      <c r="H819" s="12"/>
      <c r="I819" s="11"/>
      <c r="K819" s="12"/>
      <c r="L819" s="12"/>
      <c r="M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2.75" x14ac:dyDescent="0.2">
      <c r="A820" s="13"/>
      <c r="B820" s="13"/>
      <c r="C820" s="13"/>
      <c r="D820" s="11"/>
      <c r="H820" s="12"/>
      <c r="I820" s="11"/>
      <c r="K820" s="12"/>
      <c r="L820" s="12"/>
      <c r="M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2.75" x14ac:dyDescent="0.2">
      <c r="A821" s="13"/>
      <c r="B821" s="13"/>
      <c r="C821" s="13"/>
      <c r="D821" s="11"/>
      <c r="H821" s="12"/>
      <c r="I821" s="11"/>
      <c r="K821" s="12"/>
      <c r="L821" s="12"/>
      <c r="M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2.75" x14ac:dyDescent="0.2">
      <c r="A822" s="13"/>
      <c r="B822" s="13"/>
      <c r="C822" s="13"/>
      <c r="D822" s="11"/>
      <c r="H822" s="12"/>
      <c r="I822" s="11"/>
      <c r="K822" s="12"/>
      <c r="L822" s="12"/>
      <c r="M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2.75" x14ac:dyDescent="0.2">
      <c r="A823" s="13"/>
      <c r="B823" s="13"/>
      <c r="C823" s="13"/>
      <c r="D823" s="11"/>
      <c r="H823" s="12"/>
      <c r="I823" s="11"/>
      <c r="K823" s="12"/>
      <c r="L823" s="12"/>
      <c r="M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2.75" x14ac:dyDescent="0.2">
      <c r="A824" s="13"/>
      <c r="B824" s="13"/>
      <c r="C824" s="13"/>
      <c r="D824" s="11"/>
      <c r="H824" s="12"/>
      <c r="I824" s="11"/>
      <c r="K824" s="12"/>
      <c r="L824" s="12"/>
      <c r="M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2.75" x14ac:dyDescent="0.2">
      <c r="A825" s="13"/>
      <c r="B825" s="13"/>
      <c r="C825" s="13"/>
      <c r="D825" s="11"/>
      <c r="H825" s="12"/>
      <c r="I825" s="11"/>
      <c r="K825" s="12"/>
      <c r="L825" s="12"/>
      <c r="M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2.75" x14ac:dyDescent="0.2">
      <c r="A826" s="13"/>
      <c r="B826" s="13"/>
      <c r="C826" s="13"/>
      <c r="D826" s="11"/>
      <c r="H826" s="12"/>
      <c r="I826" s="11"/>
      <c r="K826" s="12"/>
      <c r="L826" s="12"/>
      <c r="M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2.75" x14ac:dyDescent="0.2">
      <c r="A827" s="13"/>
      <c r="B827" s="13"/>
      <c r="C827" s="13"/>
      <c r="D827" s="11"/>
      <c r="H827" s="12"/>
      <c r="I827" s="11"/>
      <c r="K827" s="12"/>
      <c r="L827" s="12"/>
      <c r="M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2.75" x14ac:dyDescent="0.2">
      <c r="A828" s="13"/>
      <c r="B828" s="13"/>
      <c r="C828" s="13"/>
      <c r="D828" s="11"/>
      <c r="H828" s="12"/>
      <c r="I828" s="11"/>
      <c r="K828" s="12"/>
      <c r="L828" s="12"/>
      <c r="M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2.75" x14ac:dyDescent="0.2">
      <c r="A829" s="13"/>
      <c r="B829" s="13"/>
      <c r="C829" s="13"/>
      <c r="D829" s="11"/>
      <c r="H829" s="12"/>
      <c r="I829" s="11"/>
      <c r="K829" s="12"/>
      <c r="L829" s="12"/>
      <c r="M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2.75" x14ac:dyDescent="0.2">
      <c r="A830" s="13"/>
      <c r="B830" s="13"/>
      <c r="C830" s="13"/>
      <c r="D830" s="11"/>
      <c r="H830" s="12"/>
      <c r="I830" s="11"/>
      <c r="K830" s="12"/>
      <c r="L830" s="12"/>
      <c r="M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2.75" x14ac:dyDescent="0.2">
      <c r="A831" s="13"/>
      <c r="B831" s="13"/>
      <c r="C831" s="13"/>
      <c r="D831" s="11"/>
      <c r="H831" s="12"/>
      <c r="I831" s="11"/>
      <c r="K831" s="12"/>
      <c r="L831" s="12"/>
      <c r="M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2.75" x14ac:dyDescent="0.2">
      <c r="A832" s="13"/>
      <c r="B832" s="13"/>
      <c r="C832" s="13"/>
      <c r="D832" s="11"/>
      <c r="H832" s="12"/>
      <c r="I832" s="11"/>
      <c r="K832" s="12"/>
      <c r="L832" s="12"/>
      <c r="M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2.75" x14ac:dyDescent="0.2">
      <c r="A833" s="13"/>
      <c r="B833" s="13"/>
      <c r="C833" s="13"/>
      <c r="D833" s="11"/>
      <c r="H833" s="12"/>
      <c r="I833" s="11"/>
      <c r="K833" s="12"/>
      <c r="L833" s="12"/>
      <c r="M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2.75" x14ac:dyDescent="0.2">
      <c r="A834" s="13"/>
      <c r="B834" s="13"/>
      <c r="C834" s="13"/>
      <c r="D834" s="11"/>
      <c r="H834" s="12"/>
      <c r="I834" s="11"/>
      <c r="K834" s="12"/>
      <c r="L834" s="12"/>
      <c r="M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2.75" x14ac:dyDescent="0.2">
      <c r="A835" s="13"/>
      <c r="B835" s="13"/>
      <c r="C835" s="13"/>
      <c r="D835" s="11"/>
      <c r="H835" s="12"/>
      <c r="I835" s="11"/>
      <c r="K835" s="12"/>
      <c r="L835" s="12"/>
      <c r="M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2.75" x14ac:dyDescent="0.2">
      <c r="A836" s="13"/>
      <c r="B836" s="13"/>
      <c r="C836" s="13"/>
      <c r="D836" s="11"/>
      <c r="H836" s="12"/>
      <c r="I836" s="11"/>
      <c r="K836" s="12"/>
      <c r="L836" s="12"/>
      <c r="M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2.75" x14ac:dyDescent="0.2">
      <c r="A837" s="13"/>
      <c r="B837" s="13"/>
      <c r="C837" s="13"/>
      <c r="D837" s="11"/>
      <c r="H837" s="12"/>
      <c r="I837" s="11"/>
      <c r="K837" s="12"/>
      <c r="L837" s="12"/>
      <c r="M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2.75" x14ac:dyDescent="0.2">
      <c r="A838" s="13"/>
      <c r="B838" s="13"/>
      <c r="C838" s="13"/>
      <c r="D838" s="11"/>
      <c r="H838" s="12"/>
      <c r="I838" s="11"/>
      <c r="K838" s="12"/>
      <c r="L838" s="12"/>
      <c r="M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2.75" x14ac:dyDescent="0.2">
      <c r="A839" s="13"/>
      <c r="B839" s="13"/>
      <c r="C839" s="13"/>
      <c r="D839" s="11"/>
      <c r="H839" s="12"/>
      <c r="I839" s="11"/>
      <c r="K839" s="12"/>
      <c r="L839" s="12"/>
      <c r="M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2.75" x14ac:dyDescent="0.2">
      <c r="A840" s="13"/>
      <c r="B840" s="13"/>
      <c r="C840" s="13"/>
      <c r="D840" s="11"/>
      <c r="H840" s="12"/>
      <c r="I840" s="11"/>
      <c r="K840" s="12"/>
      <c r="L840" s="12"/>
      <c r="M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2.75" x14ac:dyDescent="0.2">
      <c r="A841" s="13"/>
      <c r="B841" s="13"/>
      <c r="C841" s="13"/>
      <c r="D841" s="11"/>
      <c r="H841" s="12"/>
      <c r="I841" s="11"/>
      <c r="K841" s="12"/>
      <c r="L841" s="12"/>
      <c r="M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2.75" x14ac:dyDescent="0.2">
      <c r="A842" s="13"/>
      <c r="B842" s="13"/>
      <c r="C842" s="13"/>
      <c r="D842" s="11"/>
      <c r="H842" s="12"/>
      <c r="I842" s="11"/>
      <c r="K842" s="12"/>
      <c r="L842" s="12"/>
      <c r="M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2.75" x14ac:dyDescent="0.2">
      <c r="A843" s="13"/>
      <c r="B843" s="13"/>
      <c r="C843" s="13"/>
      <c r="D843" s="11"/>
      <c r="H843" s="12"/>
      <c r="I843" s="11"/>
      <c r="K843" s="12"/>
      <c r="L843" s="12"/>
      <c r="M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2.75" x14ac:dyDescent="0.2">
      <c r="A844" s="13"/>
      <c r="B844" s="13"/>
      <c r="C844" s="13"/>
      <c r="D844" s="11"/>
      <c r="H844" s="12"/>
      <c r="I844" s="11"/>
      <c r="K844" s="12"/>
      <c r="L844" s="12"/>
      <c r="M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2.75" x14ac:dyDescent="0.2">
      <c r="A845" s="13"/>
      <c r="B845" s="13"/>
      <c r="C845" s="13"/>
      <c r="D845" s="11"/>
      <c r="H845" s="12"/>
      <c r="I845" s="11"/>
      <c r="K845" s="12"/>
      <c r="L845" s="12"/>
      <c r="M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2.75" x14ac:dyDescent="0.2">
      <c r="A846" s="13"/>
      <c r="B846" s="13"/>
      <c r="C846" s="13"/>
      <c r="D846" s="11"/>
      <c r="H846" s="12"/>
      <c r="I846" s="11"/>
      <c r="K846" s="12"/>
      <c r="L846" s="12"/>
      <c r="M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2.75" x14ac:dyDescent="0.2">
      <c r="A847" s="13"/>
      <c r="B847" s="13"/>
      <c r="C847" s="13"/>
      <c r="D847" s="11"/>
      <c r="H847" s="12"/>
      <c r="I847" s="11"/>
      <c r="K847" s="12"/>
      <c r="L847" s="12"/>
      <c r="M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2.75" x14ac:dyDescent="0.2">
      <c r="A848" s="13"/>
      <c r="B848" s="13"/>
      <c r="C848" s="13"/>
      <c r="D848" s="11"/>
      <c r="H848" s="12"/>
      <c r="I848" s="11"/>
      <c r="K848" s="12"/>
      <c r="L848" s="12"/>
      <c r="M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2.75" x14ac:dyDescent="0.2">
      <c r="A849" s="13"/>
      <c r="B849" s="13"/>
      <c r="C849" s="13"/>
      <c r="D849" s="11"/>
      <c r="H849" s="12"/>
      <c r="I849" s="11"/>
      <c r="K849" s="12"/>
      <c r="L849" s="12"/>
      <c r="M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2.75" x14ac:dyDescent="0.2">
      <c r="A850" s="13"/>
      <c r="B850" s="13"/>
      <c r="C850" s="13"/>
      <c r="D850" s="11"/>
      <c r="H850" s="12"/>
      <c r="I850" s="11"/>
      <c r="K850" s="12"/>
      <c r="L850" s="12"/>
      <c r="M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2.75" x14ac:dyDescent="0.2">
      <c r="A851" s="13"/>
      <c r="B851" s="13"/>
      <c r="C851" s="13"/>
      <c r="D851" s="11"/>
      <c r="H851" s="12"/>
      <c r="I851" s="11"/>
      <c r="K851" s="12"/>
      <c r="L851" s="12"/>
      <c r="M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2.75" x14ac:dyDescent="0.2">
      <c r="A852" s="13"/>
      <c r="B852" s="13"/>
      <c r="C852" s="13"/>
      <c r="D852" s="11"/>
      <c r="H852" s="12"/>
      <c r="I852" s="11"/>
      <c r="K852" s="12"/>
      <c r="L852" s="12"/>
      <c r="M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2.75" x14ac:dyDescent="0.2">
      <c r="A853" s="13"/>
      <c r="B853" s="13"/>
      <c r="C853" s="13"/>
      <c r="D853" s="11"/>
      <c r="H853" s="12"/>
      <c r="I853" s="11"/>
      <c r="K853" s="12"/>
      <c r="L853" s="12"/>
      <c r="M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2.75" x14ac:dyDescent="0.2">
      <c r="A854" s="13"/>
      <c r="B854" s="13"/>
      <c r="C854" s="13"/>
      <c r="D854" s="11"/>
      <c r="H854" s="12"/>
      <c r="I854" s="11"/>
      <c r="K854" s="12"/>
      <c r="L854" s="12"/>
      <c r="M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2.75" x14ac:dyDescent="0.2">
      <c r="A855" s="13"/>
      <c r="B855" s="13"/>
      <c r="C855" s="13"/>
      <c r="D855" s="11"/>
      <c r="H855" s="12"/>
      <c r="I855" s="11"/>
      <c r="K855" s="12"/>
      <c r="L855" s="12"/>
      <c r="M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2.75" x14ac:dyDescent="0.2">
      <c r="A856" s="13"/>
      <c r="B856" s="13"/>
      <c r="C856" s="13"/>
      <c r="D856" s="11"/>
      <c r="H856" s="12"/>
      <c r="I856" s="11"/>
      <c r="K856" s="12"/>
      <c r="L856" s="12"/>
      <c r="M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2.75" x14ac:dyDescent="0.2">
      <c r="A857" s="13"/>
      <c r="B857" s="13"/>
      <c r="C857" s="13"/>
      <c r="D857" s="11"/>
      <c r="H857" s="12"/>
      <c r="I857" s="11"/>
      <c r="K857" s="12"/>
      <c r="L857" s="12"/>
      <c r="M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2.75" x14ac:dyDescent="0.2">
      <c r="A858" s="13"/>
      <c r="B858" s="13"/>
      <c r="C858" s="13"/>
      <c r="D858" s="11"/>
      <c r="H858" s="12"/>
      <c r="I858" s="11"/>
      <c r="K858" s="12"/>
      <c r="L858" s="12"/>
      <c r="M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2.75" x14ac:dyDescent="0.2">
      <c r="A859" s="13"/>
      <c r="B859" s="13"/>
      <c r="C859" s="13"/>
      <c r="D859" s="11"/>
      <c r="H859" s="12"/>
      <c r="I859" s="11"/>
      <c r="K859" s="12"/>
      <c r="L859" s="12"/>
      <c r="M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2.75" x14ac:dyDescent="0.2">
      <c r="A860" s="13"/>
      <c r="B860" s="13"/>
      <c r="C860" s="13"/>
      <c r="D860" s="11"/>
      <c r="H860" s="12"/>
      <c r="I860" s="11"/>
      <c r="K860" s="12"/>
      <c r="L860" s="12"/>
      <c r="M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2.75" x14ac:dyDescent="0.2">
      <c r="A861" s="13"/>
      <c r="B861" s="13"/>
      <c r="C861" s="13"/>
      <c r="D861" s="11"/>
      <c r="H861" s="12"/>
      <c r="I861" s="11"/>
      <c r="K861" s="12"/>
      <c r="L861" s="12"/>
      <c r="M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2.75" x14ac:dyDescent="0.2">
      <c r="A862" s="13"/>
      <c r="B862" s="13"/>
      <c r="C862" s="13"/>
      <c r="D862" s="11"/>
      <c r="H862" s="12"/>
      <c r="I862" s="11"/>
      <c r="K862" s="12"/>
      <c r="L862" s="12"/>
      <c r="M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2.75" x14ac:dyDescent="0.2">
      <c r="A863" s="13"/>
      <c r="B863" s="13"/>
      <c r="C863" s="13"/>
      <c r="D863" s="11"/>
      <c r="H863" s="12"/>
      <c r="I863" s="11"/>
      <c r="K863" s="12"/>
      <c r="L863" s="12"/>
      <c r="M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2.75" x14ac:dyDescent="0.2">
      <c r="A864" s="13"/>
      <c r="B864" s="13"/>
      <c r="C864" s="13"/>
      <c r="D864" s="11"/>
      <c r="H864" s="12"/>
      <c r="I864" s="11"/>
      <c r="K864" s="12"/>
      <c r="L864" s="12"/>
      <c r="M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2.75" x14ac:dyDescent="0.2">
      <c r="A865" s="13"/>
      <c r="B865" s="13"/>
      <c r="C865" s="13"/>
      <c r="D865" s="11"/>
      <c r="H865" s="12"/>
      <c r="I865" s="11"/>
      <c r="K865" s="12"/>
      <c r="L865" s="12"/>
      <c r="M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2.75" x14ac:dyDescent="0.2">
      <c r="A866" s="13"/>
      <c r="B866" s="13"/>
      <c r="C866" s="13"/>
      <c r="D866" s="11"/>
      <c r="H866" s="12"/>
      <c r="I866" s="11"/>
      <c r="K866" s="12"/>
      <c r="L866" s="12"/>
      <c r="M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2.75" x14ac:dyDescent="0.2">
      <c r="A867" s="13"/>
      <c r="B867" s="13"/>
      <c r="C867" s="13"/>
      <c r="D867" s="11"/>
      <c r="H867" s="12"/>
      <c r="I867" s="11"/>
      <c r="K867" s="12"/>
      <c r="L867" s="12"/>
      <c r="M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2.75" x14ac:dyDescent="0.2">
      <c r="A868" s="13"/>
      <c r="B868" s="13"/>
      <c r="C868" s="13"/>
      <c r="D868" s="11"/>
      <c r="H868" s="12"/>
      <c r="I868" s="11"/>
      <c r="K868" s="12"/>
      <c r="L868" s="12"/>
      <c r="M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2.75" x14ac:dyDescent="0.2">
      <c r="A869" s="13"/>
      <c r="B869" s="13"/>
      <c r="C869" s="13"/>
      <c r="D869" s="11"/>
      <c r="H869" s="12"/>
      <c r="I869" s="11"/>
      <c r="K869" s="12"/>
      <c r="L869" s="12"/>
      <c r="M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2.75" x14ac:dyDescent="0.2">
      <c r="A870" s="13"/>
      <c r="B870" s="13"/>
      <c r="C870" s="13"/>
      <c r="D870" s="11"/>
      <c r="H870" s="12"/>
      <c r="I870" s="11"/>
      <c r="K870" s="12"/>
      <c r="L870" s="12"/>
      <c r="M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2.75" x14ac:dyDescent="0.2">
      <c r="A871" s="13"/>
      <c r="B871" s="13"/>
      <c r="C871" s="13"/>
      <c r="D871" s="11"/>
      <c r="H871" s="12"/>
      <c r="I871" s="11"/>
      <c r="K871" s="12"/>
      <c r="L871" s="12"/>
      <c r="M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2.75" x14ac:dyDescent="0.2">
      <c r="A872" s="13"/>
      <c r="B872" s="13"/>
      <c r="C872" s="13"/>
      <c r="D872" s="11"/>
      <c r="H872" s="12"/>
      <c r="I872" s="11"/>
      <c r="K872" s="12"/>
      <c r="L872" s="12"/>
      <c r="M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2.75" x14ac:dyDescent="0.2">
      <c r="A873" s="13"/>
      <c r="B873" s="13"/>
      <c r="C873" s="13"/>
      <c r="D873" s="11"/>
      <c r="H873" s="12"/>
      <c r="I873" s="11"/>
      <c r="K873" s="12"/>
      <c r="L873" s="12"/>
      <c r="M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2.75" x14ac:dyDescent="0.2">
      <c r="A874" s="13"/>
      <c r="B874" s="13"/>
      <c r="C874" s="13"/>
      <c r="D874" s="11"/>
      <c r="H874" s="12"/>
      <c r="I874" s="11"/>
      <c r="K874" s="12"/>
      <c r="L874" s="12"/>
      <c r="M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2.75" x14ac:dyDescent="0.2">
      <c r="A875" s="13"/>
      <c r="B875" s="13"/>
      <c r="C875" s="13"/>
      <c r="D875" s="11"/>
      <c r="H875" s="12"/>
      <c r="I875" s="11"/>
      <c r="K875" s="12"/>
      <c r="L875" s="12"/>
      <c r="M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2.75" x14ac:dyDescent="0.2">
      <c r="A876" s="13"/>
      <c r="B876" s="13"/>
      <c r="C876" s="13"/>
      <c r="D876" s="11"/>
      <c r="H876" s="12"/>
      <c r="I876" s="11"/>
      <c r="K876" s="12"/>
      <c r="L876" s="12"/>
      <c r="M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2.75" x14ac:dyDescent="0.2">
      <c r="A877" s="13"/>
      <c r="B877" s="13"/>
      <c r="C877" s="13"/>
      <c r="D877" s="11"/>
      <c r="H877" s="12"/>
      <c r="I877" s="11"/>
      <c r="K877" s="12"/>
      <c r="L877" s="12"/>
      <c r="M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2.75" x14ac:dyDescent="0.2">
      <c r="A878" s="13"/>
      <c r="B878" s="13"/>
      <c r="C878" s="13"/>
      <c r="D878" s="11"/>
      <c r="H878" s="12"/>
      <c r="I878" s="11"/>
      <c r="K878" s="12"/>
      <c r="L878" s="12"/>
      <c r="M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2.75" x14ac:dyDescent="0.2">
      <c r="A879" s="13"/>
      <c r="B879" s="13"/>
      <c r="C879" s="13"/>
      <c r="D879" s="11"/>
      <c r="H879" s="12"/>
      <c r="I879" s="11"/>
      <c r="K879" s="12"/>
      <c r="L879" s="12"/>
      <c r="M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2.75" x14ac:dyDescent="0.2">
      <c r="A880" s="13"/>
      <c r="B880" s="13"/>
      <c r="C880" s="13"/>
      <c r="D880" s="11"/>
      <c r="H880" s="12"/>
      <c r="I880" s="11"/>
      <c r="K880" s="12"/>
      <c r="L880" s="12"/>
      <c r="M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2.75" x14ac:dyDescent="0.2">
      <c r="A881" s="13"/>
      <c r="B881" s="13"/>
      <c r="C881" s="13"/>
      <c r="D881" s="11"/>
      <c r="H881" s="12"/>
      <c r="I881" s="11"/>
      <c r="K881" s="12"/>
      <c r="L881" s="12"/>
      <c r="M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2.75" x14ac:dyDescent="0.2">
      <c r="A882" s="13"/>
      <c r="B882" s="13"/>
      <c r="C882" s="13"/>
      <c r="D882" s="11"/>
      <c r="H882" s="12"/>
      <c r="I882" s="11"/>
      <c r="K882" s="12"/>
      <c r="L882" s="12"/>
      <c r="M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2.75" x14ac:dyDescent="0.2">
      <c r="A883" s="13"/>
      <c r="B883" s="13"/>
      <c r="C883" s="13"/>
      <c r="D883" s="11"/>
      <c r="H883" s="12"/>
      <c r="I883" s="11"/>
      <c r="K883" s="12"/>
      <c r="L883" s="12"/>
      <c r="M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2.75" x14ac:dyDescent="0.2">
      <c r="A884" s="13"/>
      <c r="B884" s="13"/>
      <c r="C884" s="13"/>
      <c r="D884" s="11"/>
      <c r="H884" s="12"/>
      <c r="I884" s="11"/>
      <c r="K884" s="12"/>
      <c r="L884" s="12"/>
      <c r="M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2.75" x14ac:dyDescent="0.2">
      <c r="A885" s="13"/>
      <c r="B885" s="13"/>
      <c r="C885" s="13"/>
      <c r="D885" s="11"/>
      <c r="H885" s="12"/>
      <c r="I885" s="11"/>
      <c r="K885" s="12"/>
      <c r="L885" s="12"/>
      <c r="M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2.75" x14ac:dyDescent="0.2">
      <c r="A886" s="13"/>
      <c r="B886" s="13"/>
      <c r="C886" s="13"/>
      <c r="D886" s="11"/>
      <c r="H886" s="12"/>
      <c r="I886" s="11"/>
      <c r="K886" s="12"/>
      <c r="L886" s="12"/>
      <c r="M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2.75" x14ac:dyDescent="0.2">
      <c r="A887" s="13"/>
      <c r="B887" s="13"/>
      <c r="C887" s="13"/>
      <c r="D887" s="11"/>
      <c r="H887" s="12"/>
      <c r="I887" s="11"/>
      <c r="K887" s="12"/>
      <c r="L887" s="12"/>
      <c r="M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2.75" x14ac:dyDescent="0.2">
      <c r="A888" s="13"/>
      <c r="B888" s="13"/>
      <c r="C888" s="13"/>
      <c r="D888" s="11"/>
      <c r="H888" s="12"/>
      <c r="I888" s="11"/>
      <c r="K888" s="12"/>
      <c r="L888" s="12"/>
      <c r="M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2.75" x14ac:dyDescent="0.2">
      <c r="A889" s="13"/>
      <c r="B889" s="13"/>
      <c r="C889" s="13"/>
      <c r="D889" s="11"/>
      <c r="H889" s="12"/>
      <c r="I889" s="11"/>
      <c r="K889" s="12"/>
      <c r="L889" s="12"/>
      <c r="M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2.75" x14ac:dyDescent="0.2">
      <c r="A890" s="13"/>
      <c r="B890" s="13"/>
      <c r="C890" s="13"/>
      <c r="D890" s="11"/>
      <c r="H890" s="12"/>
      <c r="I890" s="11"/>
      <c r="K890" s="12"/>
      <c r="L890" s="12"/>
      <c r="M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2.75" x14ac:dyDescent="0.2">
      <c r="A891" s="13"/>
      <c r="B891" s="13"/>
      <c r="C891" s="13"/>
      <c r="D891" s="11"/>
      <c r="H891" s="12"/>
      <c r="I891" s="11"/>
      <c r="K891" s="12"/>
      <c r="L891" s="12"/>
      <c r="M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2.75" x14ac:dyDescent="0.2">
      <c r="A892" s="13"/>
      <c r="B892" s="13"/>
      <c r="C892" s="13"/>
      <c r="D892" s="11"/>
      <c r="H892" s="12"/>
      <c r="I892" s="11"/>
      <c r="K892" s="12"/>
      <c r="L892" s="12"/>
      <c r="M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2.75" x14ac:dyDescent="0.2">
      <c r="A893" s="13"/>
      <c r="B893" s="13"/>
      <c r="C893" s="13"/>
      <c r="D893" s="11"/>
      <c r="H893" s="12"/>
      <c r="I893" s="11"/>
      <c r="K893" s="12"/>
      <c r="L893" s="12"/>
      <c r="M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2.75" x14ac:dyDescent="0.2">
      <c r="A894" s="13"/>
      <c r="B894" s="13"/>
      <c r="C894" s="13"/>
      <c r="D894" s="11"/>
      <c r="H894" s="12"/>
      <c r="I894" s="11"/>
      <c r="K894" s="12"/>
      <c r="L894" s="12"/>
      <c r="M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2.75" x14ac:dyDescent="0.2">
      <c r="A895" s="13"/>
      <c r="B895" s="13"/>
      <c r="C895" s="13"/>
      <c r="D895" s="11"/>
      <c r="H895" s="12"/>
      <c r="I895" s="11"/>
      <c r="K895" s="12"/>
      <c r="L895" s="12"/>
      <c r="M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2.75" x14ac:dyDescent="0.2">
      <c r="A896" s="13"/>
      <c r="B896" s="13"/>
      <c r="C896" s="13"/>
      <c r="D896" s="11"/>
      <c r="H896" s="12"/>
      <c r="I896" s="11"/>
      <c r="K896" s="12"/>
      <c r="L896" s="12"/>
      <c r="M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2.75" x14ac:dyDescent="0.2">
      <c r="A897" s="13"/>
      <c r="B897" s="13"/>
      <c r="C897" s="13"/>
      <c r="D897" s="11"/>
      <c r="H897" s="12"/>
      <c r="I897" s="11"/>
      <c r="K897" s="12"/>
      <c r="L897" s="12"/>
      <c r="M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2.75" x14ac:dyDescent="0.2">
      <c r="A898" s="13"/>
      <c r="B898" s="13"/>
      <c r="C898" s="13"/>
      <c r="D898" s="11"/>
      <c r="H898" s="12"/>
      <c r="I898" s="11"/>
      <c r="K898" s="12"/>
      <c r="L898" s="12"/>
      <c r="M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2.75" x14ac:dyDescent="0.2">
      <c r="A899" s="13"/>
      <c r="B899" s="13"/>
      <c r="C899" s="13"/>
      <c r="D899" s="11"/>
      <c r="H899" s="12"/>
      <c r="I899" s="11"/>
      <c r="K899" s="12"/>
      <c r="L899" s="12"/>
      <c r="M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2.75" x14ac:dyDescent="0.2">
      <c r="A900" s="13"/>
      <c r="B900" s="13"/>
      <c r="C900" s="13"/>
      <c r="D900" s="11"/>
      <c r="H900" s="12"/>
      <c r="I900" s="11"/>
      <c r="K900" s="12"/>
      <c r="L900" s="12"/>
      <c r="M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2.75" x14ac:dyDescent="0.2">
      <c r="A901" s="13"/>
      <c r="B901" s="13"/>
      <c r="C901" s="13"/>
      <c r="D901" s="11"/>
      <c r="H901" s="12"/>
      <c r="I901" s="11"/>
      <c r="K901" s="12"/>
      <c r="L901" s="12"/>
      <c r="M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2.75" x14ac:dyDescent="0.2">
      <c r="A902" s="13"/>
      <c r="B902" s="13"/>
      <c r="C902" s="13"/>
      <c r="D902" s="11"/>
      <c r="H902" s="12"/>
      <c r="I902" s="11"/>
      <c r="K902" s="12"/>
      <c r="L902" s="12"/>
      <c r="M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2.75" x14ac:dyDescent="0.2">
      <c r="A903" s="13"/>
      <c r="B903" s="13"/>
      <c r="C903" s="13"/>
      <c r="D903" s="11"/>
      <c r="H903" s="12"/>
      <c r="I903" s="11"/>
      <c r="K903" s="12"/>
      <c r="L903" s="12"/>
      <c r="M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2.75" x14ac:dyDescent="0.2">
      <c r="A904" s="13"/>
      <c r="B904" s="13"/>
      <c r="C904" s="13"/>
      <c r="D904" s="11"/>
      <c r="H904" s="12"/>
      <c r="I904" s="11"/>
      <c r="K904" s="12"/>
      <c r="L904" s="12"/>
      <c r="M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2.75" x14ac:dyDescent="0.2">
      <c r="A905" s="13"/>
      <c r="B905" s="13"/>
      <c r="C905" s="13"/>
      <c r="D905" s="11"/>
      <c r="H905" s="12"/>
      <c r="I905" s="11"/>
      <c r="K905" s="12"/>
      <c r="L905" s="12"/>
      <c r="M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2.75" x14ac:dyDescent="0.2">
      <c r="A906" s="13"/>
      <c r="B906" s="13"/>
      <c r="C906" s="13"/>
      <c r="D906" s="11"/>
      <c r="H906" s="12"/>
      <c r="I906" s="11"/>
      <c r="K906" s="12"/>
      <c r="L906" s="12"/>
      <c r="M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2.75" x14ac:dyDescent="0.2">
      <c r="A907" s="13"/>
      <c r="B907" s="13"/>
      <c r="C907" s="13"/>
      <c r="D907" s="11"/>
      <c r="H907" s="12"/>
      <c r="I907" s="11"/>
      <c r="K907" s="12"/>
      <c r="L907" s="12"/>
      <c r="M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2.75" x14ac:dyDescent="0.2">
      <c r="A908" s="13"/>
      <c r="B908" s="13"/>
      <c r="C908" s="13"/>
      <c r="D908" s="11"/>
      <c r="H908" s="12"/>
      <c r="I908" s="11"/>
      <c r="K908" s="12"/>
      <c r="L908" s="12"/>
      <c r="M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2.75" x14ac:dyDescent="0.2">
      <c r="A909" s="13"/>
      <c r="B909" s="13"/>
      <c r="C909" s="13"/>
      <c r="D909" s="11"/>
      <c r="H909" s="12"/>
      <c r="I909" s="11"/>
      <c r="K909" s="12"/>
      <c r="L909" s="12"/>
      <c r="M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2.75" x14ac:dyDescent="0.2">
      <c r="A910" s="13"/>
      <c r="B910" s="13"/>
      <c r="C910" s="13"/>
      <c r="D910" s="11"/>
      <c r="H910" s="12"/>
      <c r="I910" s="11"/>
      <c r="K910" s="12"/>
      <c r="L910" s="12"/>
      <c r="M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2.75" x14ac:dyDescent="0.2">
      <c r="A911" s="13"/>
      <c r="B911" s="13"/>
      <c r="C911" s="13"/>
      <c r="D911" s="11"/>
      <c r="H911" s="12"/>
      <c r="I911" s="11"/>
      <c r="K911" s="12"/>
      <c r="L911" s="12"/>
      <c r="M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2.75" x14ac:dyDescent="0.2">
      <c r="A912" s="13"/>
      <c r="B912" s="13"/>
      <c r="C912" s="13"/>
      <c r="D912" s="11"/>
      <c r="H912" s="12"/>
      <c r="I912" s="11"/>
      <c r="K912" s="12"/>
      <c r="L912" s="12"/>
      <c r="M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2.75" x14ac:dyDescent="0.2">
      <c r="A913" s="13"/>
      <c r="B913" s="13"/>
      <c r="C913" s="13"/>
      <c r="D913" s="11"/>
      <c r="H913" s="12"/>
      <c r="I913" s="11"/>
      <c r="K913" s="12"/>
      <c r="L913" s="12"/>
      <c r="M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2.75" x14ac:dyDescent="0.2">
      <c r="A914" s="13"/>
      <c r="B914" s="13"/>
      <c r="C914" s="13"/>
      <c r="D914" s="11"/>
      <c r="H914" s="12"/>
      <c r="I914" s="11"/>
      <c r="K914" s="12"/>
      <c r="L914" s="12"/>
      <c r="M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2.75" x14ac:dyDescent="0.2">
      <c r="A915" s="13"/>
      <c r="B915" s="13"/>
      <c r="C915" s="13"/>
      <c r="D915" s="11"/>
      <c r="H915" s="12"/>
      <c r="I915" s="11"/>
      <c r="K915" s="12"/>
      <c r="L915" s="12"/>
      <c r="M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2.75" x14ac:dyDescent="0.2">
      <c r="A916" s="13"/>
      <c r="B916" s="13"/>
      <c r="C916" s="13"/>
      <c r="D916" s="11"/>
      <c r="H916" s="12"/>
      <c r="I916" s="11"/>
      <c r="K916" s="12"/>
      <c r="L916" s="12"/>
      <c r="M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2.75" x14ac:dyDescent="0.2">
      <c r="A917" s="13"/>
      <c r="B917" s="13"/>
      <c r="C917" s="13"/>
      <c r="D917" s="11"/>
      <c r="H917" s="12"/>
      <c r="I917" s="11"/>
      <c r="K917" s="12"/>
      <c r="L917" s="12"/>
      <c r="M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2.75" x14ac:dyDescent="0.2">
      <c r="A918" s="13"/>
      <c r="B918" s="13"/>
      <c r="C918" s="13"/>
      <c r="D918" s="11"/>
      <c r="H918" s="12"/>
      <c r="I918" s="11"/>
      <c r="K918" s="12"/>
      <c r="L918" s="12"/>
      <c r="M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2.75" x14ac:dyDescent="0.2">
      <c r="A919" s="13"/>
      <c r="B919" s="13"/>
      <c r="C919" s="13"/>
      <c r="D919" s="11"/>
      <c r="H919" s="12"/>
      <c r="I919" s="11"/>
      <c r="K919" s="12"/>
      <c r="L919" s="12"/>
      <c r="M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2.75" x14ac:dyDescent="0.2">
      <c r="A920" s="13"/>
      <c r="B920" s="13"/>
      <c r="C920" s="13"/>
      <c r="D920" s="11"/>
      <c r="H920" s="12"/>
      <c r="I920" s="11"/>
      <c r="K920" s="12"/>
      <c r="L920" s="12"/>
      <c r="M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2.75" x14ac:dyDescent="0.2">
      <c r="A921" s="13"/>
      <c r="B921" s="13"/>
      <c r="C921" s="13"/>
      <c r="D921" s="11"/>
      <c r="H921" s="12"/>
      <c r="I921" s="11"/>
      <c r="K921" s="12"/>
      <c r="L921" s="12"/>
      <c r="M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2.75" x14ac:dyDescent="0.2">
      <c r="A922" s="13"/>
      <c r="B922" s="13"/>
      <c r="C922" s="13"/>
      <c r="D922" s="11"/>
      <c r="H922" s="12"/>
      <c r="I922" s="11"/>
      <c r="K922" s="12"/>
      <c r="L922" s="12"/>
      <c r="M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2.75" x14ac:dyDescent="0.2">
      <c r="A923" s="13"/>
      <c r="B923" s="13"/>
      <c r="C923" s="13"/>
      <c r="D923" s="11"/>
      <c r="H923" s="12"/>
      <c r="I923" s="11"/>
      <c r="K923" s="12"/>
      <c r="L923" s="12"/>
      <c r="M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2.75" x14ac:dyDescent="0.2">
      <c r="A924" s="13"/>
      <c r="B924" s="13"/>
      <c r="C924" s="13"/>
      <c r="D924" s="11"/>
      <c r="H924" s="12"/>
      <c r="I924" s="11"/>
      <c r="K924" s="12"/>
      <c r="L924" s="12"/>
      <c r="M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2.75" x14ac:dyDescent="0.2">
      <c r="A925" s="13"/>
      <c r="B925" s="13"/>
      <c r="C925" s="13"/>
      <c r="D925" s="11"/>
      <c r="H925" s="12"/>
      <c r="I925" s="11"/>
      <c r="K925" s="12"/>
      <c r="L925" s="12"/>
      <c r="M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2.75" x14ac:dyDescent="0.2">
      <c r="A926" s="13"/>
      <c r="B926" s="13"/>
      <c r="C926" s="13"/>
      <c r="D926" s="11"/>
      <c r="H926" s="12"/>
      <c r="I926" s="11"/>
      <c r="K926" s="12"/>
      <c r="L926" s="12"/>
      <c r="M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2.75" x14ac:dyDescent="0.2">
      <c r="A927" s="13"/>
      <c r="B927" s="13"/>
      <c r="C927" s="13"/>
      <c r="D927" s="11"/>
      <c r="H927" s="12"/>
      <c r="I927" s="11"/>
      <c r="K927" s="12"/>
      <c r="L927" s="12"/>
      <c r="M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2.75" x14ac:dyDescent="0.2">
      <c r="A928" s="13"/>
      <c r="B928" s="13"/>
      <c r="C928" s="13"/>
      <c r="D928" s="11"/>
      <c r="H928" s="12"/>
      <c r="I928" s="11"/>
      <c r="K928" s="12"/>
      <c r="L928" s="12"/>
      <c r="M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2.75" x14ac:dyDescent="0.2">
      <c r="A929" s="13"/>
      <c r="B929" s="13"/>
      <c r="C929" s="13"/>
      <c r="D929" s="11"/>
      <c r="H929" s="12"/>
      <c r="I929" s="11"/>
      <c r="K929" s="12"/>
      <c r="L929" s="12"/>
      <c r="M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2.75" x14ac:dyDescent="0.2">
      <c r="A930" s="13"/>
      <c r="B930" s="13"/>
      <c r="C930" s="13"/>
      <c r="D930" s="11"/>
      <c r="H930" s="12"/>
      <c r="I930" s="11"/>
      <c r="K930" s="12"/>
      <c r="L930" s="12"/>
      <c r="M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2.75" x14ac:dyDescent="0.2">
      <c r="A931" s="13"/>
      <c r="B931" s="13"/>
      <c r="C931" s="13"/>
      <c r="D931" s="11"/>
      <c r="H931" s="12"/>
      <c r="I931" s="11"/>
      <c r="K931" s="12"/>
      <c r="L931" s="12"/>
      <c r="M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2.75" x14ac:dyDescent="0.2">
      <c r="A932" s="13"/>
      <c r="B932" s="13"/>
      <c r="C932" s="13"/>
      <c r="D932" s="11"/>
      <c r="H932" s="12"/>
      <c r="I932" s="11"/>
      <c r="K932" s="12"/>
      <c r="L932" s="12"/>
      <c r="M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2.75" x14ac:dyDescent="0.2">
      <c r="A933" s="13"/>
      <c r="B933" s="13"/>
      <c r="C933" s="13"/>
      <c r="D933" s="11"/>
      <c r="H933" s="12"/>
      <c r="I933" s="11"/>
      <c r="K933" s="12"/>
      <c r="L933" s="12"/>
      <c r="M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2.75" x14ac:dyDescent="0.2">
      <c r="A934" s="13"/>
      <c r="B934" s="13"/>
      <c r="C934" s="13"/>
      <c r="D934" s="11"/>
      <c r="H934" s="12"/>
      <c r="I934" s="11"/>
      <c r="K934" s="12"/>
      <c r="L934" s="12"/>
      <c r="M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2.75" x14ac:dyDescent="0.2">
      <c r="A935" s="13"/>
      <c r="B935" s="13"/>
      <c r="C935" s="13"/>
      <c r="D935" s="11"/>
      <c r="H935" s="12"/>
      <c r="I935" s="11"/>
      <c r="K935" s="12"/>
      <c r="L935" s="12"/>
      <c r="M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2.75" x14ac:dyDescent="0.2">
      <c r="A936" s="13"/>
      <c r="B936" s="13"/>
      <c r="C936" s="13"/>
      <c r="D936" s="11"/>
      <c r="H936" s="12"/>
      <c r="I936" s="11"/>
      <c r="K936" s="12"/>
      <c r="L936" s="12"/>
      <c r="M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2.75" x14ac:dyDescent="0.2">
      <c r="A937" s="13"/>
      <c r="B937" s="13"/>
      <c r="C937" s="13"/>
      <c r="D937" s="11"/>
      <c r="H937" s="12"/>
      <c r="I937" s="11"/>
      <c r="K937" s="12"/>
      <c r="L937" s="12"/>
      <c r="M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2.75" x14ac:dyDescent="0.2">
      <c r="A938" s="13"/>
      <c r="B938" s="13"/>
      <c r="C938" s="13"/>
      <c r="D938" s="11"/>
      <c r="H938" s="12"/>
      <c r="I938" s="11"/>
      <c r="K938" s="12"/>
      <c r="L938" s="12"/>
      <c r="M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2.75" x14ac:dyDescent="0.2">
      <c r="A939" s="13"/>
      <c r="B939" s="13"/>
      <c r="C939" s="13"/>
      <c r="D939" s="11"/>
      <c r="H939" s="12"/>
      <c r="I939" s="11"/>
      <c r="K939" s="12"/>
      <c r="L939" s="12"/>
      <c r="M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2.75" x14ac:dyDescent="0.2">
      <c r="A940" s="13"/>
      <c r="B940" s="13"/>
      <c r="C940" s="13"/>
      <c r="D940" s="11"/>
      <c r="H940" s="12"/>
      <c r="I940" s="11"/>
      <c r="K940" s="12"/>
      <c r="L940" s="12"/>
      <c r="M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2.75" x14ac:dyDescent="0.2">
      <c r="A941" s="13"/>
      <c r="B941" s="13"/>
      <c r="C941" s="13"/>
      <c r="D941" s="11"/>
      <c r="H941" s="12"/>
      <c r="I941" s="11"/>
      <c r="K941" s="12"/>
      <c r="L941" s="12"/>
      <c r="M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2.75" x14ac:dyDescent="0.2">
      <c r="A942" s="13"/>
      <c r="B942" s="13"/>
      <c r="C942" s="13"/>
      <c r="D942" s="11"/>
      <c r="H942" s="12"/>
      <c r="I942" s="11"/>
      <c r="K942" s="12"/>
      <c r="L942" s="12"/>
      <c r="M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2.75" x14ac:dyDescent="0.2">
      <c r="A943" s="13"/>
      <c r="B943" s="13"/>
      <c r="C943" s="13"/>
      <c r="D943" s="11"/>
      <c r="H943" s="12"/>
      <c r="I943" s="11"/>
      <c r="K943" s="12"/>
      <c r="L943" s="12"/>
      <c r="M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2.75" x14ac:dyDescent="0.2">
      <c r="A944" s="13"/>
      <c r="B944" s="13"/>
      <c r="C944" s="13"/>
      <c r="D944" s="11"/>
      <c r="H944" s="12"/>
      <c r="I944" s="11"/>
      <c r="K944" s="12"/>
      <c r="L944" s="12"/>
      <c r="M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2.75" x14ac:dyDescent="0.2">
      <c r="A945" s="13"/>
      <c r="B945" s="13"/>
      <c r="C945" s="13"/>
      <c r="D945" s="11"/>
      <c r="H945" s="12"/>
      <c r="I945" s="11"/>
      <c r="K945" s="12"/>
      <c r="L945" s="12"/>
      <c r="M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2.75" x14ac:dyDescent="0.2">
      <c r="A946" s="13"/>
      <c r="B946" s="13"/>
      <c r="C946" s="13"/>
      <c r="D946" s="11"/>
      <c r="H946" s="12"/>
      <c r="I946" s="11"/>
      <c r="K946" s="12"/>
      <c r="L946" s="12"/>
      <c r="M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2.75" x14ac:dyDescent="0.2">
      <c r="A947" s="13"/>
      <c r="B947" s="13"/>
      <c r="C947" s="13"/>
      <c r="D947" s="11"/>
      <c r="H947" s="12"/>
      <c r="I947" s="11"/>
      <c r="K947" s="12"/>
      <c r="L947" s="12"/>
      <c r="M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2.75" x14ac:dyDescent="0.2">
      <c r="A948" s="13"/>
      <c r="B948" s="13"/>
      <c r="C948" s="13"/>
      <c r="D948" s="11"/>
      <c r="H948" s="12"/>
      <c r="I948" s="11"/>
      <c r="K948" s="12"/>
      <c r="L948" s="12"/>
      <c r="M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2.75" x14ac:dyDescent="0.2">
      <c r="A949" s="13"/>
      <c r="B949" s="13"/>
      <c r="C949" s="13"/>
      <c r="D949" s="11"/>
      <c r="H949" s="12"/>
      <c r="I949" s="11"/>
      <c r="K949" s="12"/>
      <c r="L949" s="12"/>
      <c r="M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2.75" x14ac:dyDescent="0.2">
      <c r="A950" s="13"/>
      <c r="B950" s="13"/>
      <c r="C950" s="13"/>
      <c r="D950" s="11"/>
      <c r="H950" s="12"/>
      <c r="I950" s="11"/>
      <c r="K950" s="12"/>
      <c r="L950" s="12"/>
      <c r="M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2.75" x14ac:dyDescent="0.2">
      <c r="A951" s="13"/>
      <c r="B951" s="13"/>
      <c r="C951" s="13"/>
      <c r="D951" s="11"/>
      <c r="H951" s="12"/>
      <c r="I951" s="11"/>
      <c r="K951" s="12"/>
      <c r="L951" s="12"/>
      <c r="M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2.75" x14ac:dyDescent="0.2">
      <c r="A952" s="13"/>
      <c r="B952" s="13"/>
      <c r="C952" s="13"/>
      <c r="D952" s="11"/>
      <c r="H952" s="12"/>
      <c r="I952" s="11"/>
      <c r="K952" s="12"/>
      <c r="L952" s="12"/>
      <c r="M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2.75" x14ac:dyDescent="0.2">
      <c r="A953" s="13"/>
      <c r="B953" s="13"/>
      <c r="C953" s="13"/>
      <c r="D953" s="11"/>
      <c r="H953" s="12"/>
      <c r="I953" s="11"/>
      <c r="K953" s="12"/>
      <c r="L953" s="12"/>
      <c r="M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2.75" x14ac:dyDescent="0.2">
      <c r="A954" s="13"/>
      <c r="B954" s="13"/>
      <c r="C954" s="13"/>
      <c r="D954" s="11"/>
      <c r="H954" s="12"/>
      <c r="I954" s="11"/>
      <c r="K954" s="12"/>
      <c r="L954" s="12"/>
      <c r="M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2.75" x14ac:dyDescent="0.2">
      <c r="A955" s="13"/>
      <c r="B955" s="13"/>
      <c r="C955" s="13"/>
      <c r="D955" s="11"/>
      <c r="H955" s="12"/>
      <c r="I955" s="11"/>
      <c r="K955" s="12"/>
      <c r="L955" s="12"/>
      <c r="M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2.75" x14ac:dyDescent="0.2">
      <c r="A956" s="13"/>
      <c r="B956" s="13"/>
      <c r="C956" s="13"/>
      <c r="D956" s="11"/>
      <c r="H956" s="12"/>
      <c r="I956" s="11"/>
      <c r="K956" s="12"/>
      <c r="L956" s="12"/>
      <c r="M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2.75" x14ac:dyDescent="0.2">
      <c r="A957" s="13"/>
      <c r="B957" s="13"/>
      <c r="C957" s="13"/>
      <c r="D957" s="11"/>
      <c r="H957" s="12"/>
      <c r="I957" s="11"/>
      <c r="K957" s="12"/>
      <c r="L957" s="12"/>
      <c r="M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2.75" x14ac:dyDescent="0.2">
      <c r="A958" s="13"/>
      <c r="B958" s="13"/>
      <c r="C958" s="13"/>
      <c r="D958" s="11"/>
      <c r="H958" s="12"/>
      <c r="I958" s="11"/>
      <c r="K958" s="12"/>
      <c r="L958" s="12"/>
      <c r="M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2.75" x14ac:dyDescent="0.2">
      <c r="A959" s="13"/>
      <c r="B959" s="13"/>
      <c r="C959" s="13"/>
      <c r="D959" s="11"/>
      <c r="H959" s="12"/>
      <c r="I959" s="11"/>
      <c r="K959" s="12"/>
      <c r="L959" s="12"/>
      <c r="M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2.75" x14ac:dyDescent="0.2">
      <c r="A960" s="13"/>
      <c r="B960" s="13"/>
      <c r="C960" s="13"/>
      <c r="D960" s="11"/>
      <c r="H960" s="12"/>
      <c r="I960" s="11"/>
      <c r="K960" s="12"/>
      <c r="L960" s="12"/>
      <c r="M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2.75" x14ac:dyDescent="0.2">
      <c r="A961" s="13"/>
      <c r="B961" s="13"/>
      <c r="C961" s="13"/>
      <c r="D961" s="11"/>
      <c r="H961" s="12"/>
      <c r="I961" s="11"/>
      <c r="K961" s="12"/>
      <c r="L961" s="12"/>
      <c r="M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2.75" x14ac:dyDescent="0.2">
      <c r="A962" s="13"/>
      <c r="B962" s="13"/>
      <c r="C962" s="13"/>
      <c r="D962" s="11"/>
      <c r="H962" s="12"/>
      <c r="I962" s="11"/>
      <c r="K962" s="12"/>
      <c r="L962" s="12"/>
      <c r="M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2.75" x14ac:dyDescent="0.2">
      <c r="A963" s="13"/>
      <c r="B963" s="13"/>
      <c r="C963" s="13"/>
      <c r="D963" s="11"/>
      <c r="H963" s="12"/>
      <c r="I963" s="11"/>
      <c r="K963" s="12"/>
      <c r="L963" s="12"/>
      <c r="M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2.75" x14ac:dyDescent="0.2">
      <c r="A964" s="13"/>
      <c r="B964" s="13"/>
      <c r="C964" s="13"/>
      <c r="D964" s="11"/>
      <c r="H964" s="12"/>
      <c r="I964" s="11"/>
      <c r="K964" s="12"/>
      <c r="L964" s="12"/>
      <c r="M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2.75" x14ac:dyDescent="0.2">
      <c r="A965" s="13"/>
      <c r="B965" s="13"/>
      <c r="C965" s="13"/>
      <c r="D965" s="11"/>
      <c r="H965" s="12"/>
      <c r="I965" s="11"/>
      <c r="K965" s="12"/>
      <c r="L965" s="12"/>
      <c r="M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2.75" x14ac:dyDescent="0.2">
      <c r="A966" s="13"/>
      <c r="B966" s="13"/>
      <c r="C966" s="13"/>
      <c r="D966" s="11"/>
      <c r="H966" s="12"/>
      <c r="I966" s="11"/>
      <c r="K966" s="12"/>
      <c r="L966" s="12"/>
      <c r="M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2.75" x14ac:dyDescent="0.2">
      <c r="A967" s="13"/>
      <c r="B967" s="13"/>
      <c r="C967" s="13"/>
      <c r="D967" s="11"/>
      <c r="H967" s="12"/>
      <c r="I967" s="11"/>
      <c r="K967" s="12"/>
      <c r="L967" s="12"/>
      <c r="M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2.75" x14ac:dyDescent="0.2">
      <c r="A968" s="13"/>
      <c r="B968" s="13"/>
      <c r="C968" s="13"/>
      <c r="D968" s="11"/>
      <c r="H968" s="12"/>
      <c r="I968" s="11"/>
      <c r="K968" s="12"/>
      <c r="L968" s="12"/>
      <c r="M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2.75" x14ac:dyDescent="0.2">
      <c r="A969" s="13"/>
      <c r="B969" s="13"/>
      <c r="C969" s="13"/>
      <c r="D969" s="11"/>
      <c r="H969" s="12"/>
      <c r="I969" s="11"/>
      <c r="K969" s="12"/>
      <c r="L969" s="12"/>
      <c r="M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2.75" x14ac:dyDescent="0.2">
      <c r="A970" s="13"/>
      <c r="B970" s="13"/>
      <c r="C970" s="13"/>
      <c r="D970" s="11"/>
      <c r="H970" s="12"/>
      <c r="I970" s="11"/>
      <c r="K970" s="12"/>
      <c r="L970" s="12"/>
      <c r="M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2.75" x14ac:dyDescent="0.2">
      <c r="A971" s="13"/>
      <c r="B971" s="13"/>
      <c r="C971" s="13"/>
      <c r="D971" s="11"/>
      <c r="H971" s="12"/>
      <c r="I971" s="11"/>
      <c r="K971" s="12"/>
      <c r="L971" s="12"/>
      <c r="M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2.75" x14ac:dyDescent="0.2">
      <c r="A972" s="13"/>
      <c r="B972" s="13"/>
      <c r="C972" s="13"/>
      <c r="D972" s="11"/>
      <c r="H972" s="12"/>
      <c r="I972" s="11"/>
      <c r="K972" s="12"/>
      <c r="L972" s="12"/>
      <c r="M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2.75" x14ac:dyDescent="0.2">
      <c r="A973" s="13"/>
      <c r="B973" s="13"/>
      <c r="C973" s="13"/>
      <c r="D973" s="11"/>
      <c r="H973" s="12"/>
      <c r="I973" s="11"/>
      <c r="K973" s="12"/>
      <c r="L973" s="12"/>
      <c r="M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2.75" x14ac:dyDescent="0.2">
      <c r="A974" s="13"/>
      <c r="B974" s="13"/>
      <c r="C974" s="13"/>
      <c r="D974" s="11"/>
      <c r="H974" s="12"/>
      <c r="I974" s="11"/>
      <c r="K974" s="12"/>
      <c r="L974" s="12"/>
      <c r="M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2.75" x14ac:dyDescent="0.2">
      <c r="A975" s="13"/>
      <c r="B975" s="13"/>
      <c r="C975" s="13"/>
      <c r="D975" s="11"/>
      <c r="H975" s="12"/>
      <c r="I975" s="11"/>
      <c r="K975" s="12"/>
      <c r="L975" s="12"/>
      <c r="M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2.75" x14ac:dyDescent="0.2">
      <c r="A976" s="13"/>
      <c r="B976" s="13"/>
      <c r="C976" s="13"/>
      <c r="D976" s="11"/>
      <c r="H976" s="12"/>
      <c r="I976" s="11"/>
      <c r="K976" s="12"/>
      <c r="L976" s="12"/>
      <c r="M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2.75" x14ac:dyDescent="0.2">
      <c r="A977" s="13"/>
      <c r="B977" s="13"/>
      <c r="C977" s="13"/>
      <c r="D977" s="11"/>
      <c r="H977" s="12"/>
      <c r="I977" s="11"/>
      <c r="K977" s="12"/>
      <c r="L977" s="12"/>
      <c r="M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2.75" x14ac:dyDescent="0.2">
      <c r="A978" s="13"/>
      <c r="B978" s="13"/>
      <c r="C978" s="13"/>
      <c r="D978" s="11"/>
      <c r="H978" s="12"/>
      <c r="I978" s="11"/>
      <c r="K978" s="12"/>
      <c r="L978" s="12"/>
      <c r="M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2.75" x14ac:dyDescent="0.2">
      <c r="A979" s="13"/>
      <c r="B979" s="13"/>
      <c r="C979" s="13"/>
      <c r="D979" s="11"/>
      <c r="H979" s="12"/>
      <c r="I979" s="11"/>
      <c r="K979" s="12"/>
      <c r="L979" s="12"/>
      <c r="M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2.75" x14ac:dyDescent="0.2">
      <c r="A980" s="13"/>
      <c r="B980" s="13"/>
      <c r="C980" s="13"/>
      <c r="D980" s="11"/>
      <c r="H980" s="12"/>
      <c r="I980" s="11"/>
      <c r="K980" s="12"/>
      <c r="L980" s="12"/>
      <c r="M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2.75" x14ac:dyDescent="0.2">
      <c r="A981" s="13"/>
      <c r="B981" s="13"/>
      <c r="C981" s="13"/>
      <c r="D981" s="11"/>
      <c r="H981" s="12"/>
      <c r="I981" s="11"/>
      <c r="K981" s="12"/>
      <c r="L981" s="12"/>
      <c r="M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2.75" x14ac:dyDescent="0.2">
      <c r="A982" s="13"/>
      <c r="B982" s="13"/>
      <c r="C982" s="13"/>
      <c r="D982" s="11"/>
      <c r="H982" s="12"/>
      <c r="I982" s="11"/>
      <c r="K982" s="12"/>
      <c r="L982" s="12"/>
      <c r="M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2.75" x14ac:dyDescent="0.2">
      <c r="A983" s="13"/>
      <c r="B983" s="13"/>
      <c r="C983" s="13"/>
      <c r="D983" s="11"/>
      <c r="H983" s="12"/>
      <c r="I983" s="11"/>
      <c r="K983" s="12"/>
      <c r="L983" s="12"/>
      <c r="M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2.75" x14ac:dyDescent="0.2">
      <c r="A984" s="13"/>
      <c r="B984" s="13"/>
      <c r="C984" s="13"/>
      <c r="D984" s="11"/>
      <c r="H984" s="12"/>
      <c r="I984" s="11"/>
      <c r="K984" s="12"/>
      <c r="L984" s="12"/>
      <c r="M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2.75" x14ac:dyDescent="0.2">
      <c r="A985" s="13"/>
      <c r="B985" s="13"/>
      <c r="C985" s="13"/>
      <c r="D985" s="11"/>
      <c r="H985" s="12"/>
      <c r="I985" s="11"/>
      <c r="K985" s="12"/>
      <c r="L985" s="12"/>
      <c r="M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2.75" x14ac:dyDescent="0.2">
      <c r="A986" s="13"/>
      <c r="B986" s="13"/>
      <c r="C986" s="13"/>
      <c r="D986" s="11"/>
      <c r="H986" s="12"/>
      <c r="I986" s="11"/>
      <c r="K986" s="12"/>
      <c r="L986" s="12"/>
      <c r="M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2.75" x14ac:dyDescent="0.2">
      <c r="A987" s="13"/>
      <c r="B987" s="13"/>
      <c r="C987" s="13"/>
      <c r="D987" s="11"/>
      <c r="H987" s="12"/>
      <c r="I987" s="11"/>
      <c r="K987" s="12"/>
      <c r="L987" s="12"/>
      <c r="M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2.75" x14ac:dyDescent="0.2">
      <c r="A988" s="13"/>
      <c r="B988" s="13"/>
      <c r="C988" s="13"/>
      <c r="D988" s="11"/>
      <c r="H988" s="12"/>
      <c r="I988" s="11"/>
      <c r="K988" s="12"/>
      <c r="L988" s="12"/>
      <c r="M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2.75" x14ac:dyDescent="0.2">
      <c r="A989" s="13"/>
      <c r="B989" s="13"/>
      <c r="C989" s="13"/>
      <c r="D989" s="11"/>
      <c r="H989" s="12"/>
      <c r="I989" s="11"/>
      <c r="K989" s="12"/>
      <c r="L989" s="12"/>
      <c r="M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2.75" x14ac:dyDescent="0.2">
      <c r="A990" s="13"/>
      <c r="B990" s="13"/>
      <c r="C990" s="13"/>
      <c r="D990" s="11"/>
      <c r="H990" s="12"/>
      <c r="I990" s="11"/>
      <c r="K990" s="12"/>
      <c r="L990" s="12"/>
      <c r="M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2.75" x14ac:dyDescent="0.2">
      <c r="A991" s="13"/>
      <c r="B991" s="13"/>
      <c r="C991" s="13"/>
      <c r="D991" s="11"/>
      <c r="H991" s="12"/>
      <c r="I991" s="11"/>
      <c r="K991" s="12"/>
      <c r="L991" s="12"/>
      <c r="M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2.75" x14ac:dyDescent="0.2">
      <c r="A992" s="13"/>
      <c r="B992" s="13"/>
      <c r="C992" s="13"/>
      <c r="D992" s="11"/>
      <c r="H992" s="12"/>
      <c r="I992" s="11"/>
      <c r="K992" s="12"/>
      <c r="L992" s="12"/>
      <c r="M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2.75" x14ac:dyDescent="0.2">
      <c r="A993" s="13"/>
      <c r="B993" s="13"/>
      <c r="C993" s="13"/>
      <c r="D993" s="11"/>
      <c r="H993" s="12"/>
      <c r="I993" s="11"/>
      <c r="K993" s="12"/>
      <c r="L993" s="12"/>
      <c r="M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2.75" x14ac:dyDescent="0.2">
      <c r="A994" s="13"/>
      <c r="B994" s="13"/>
      <c r="C994" s="13"/>
      <c r="D994" s="11"/>
      <c r="H994" s="12"/>
      <c r="I994" s="11"/>
      <c r="K994" s="12"/>
      <c r="L994" s="12"/>
      <c r="M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2.75" x14ac:dyDescent="0.2">
      <c r="A995" s="13"/>
      <c r="B995" s="13"/>
      <c r="C995" s="13"/>
      <c r="D995" s="11"/>
      <c r="H995" s="12"/>
      <c r="I995" s="11"/>
      <c r="K995" s="12"/>
      <c r="L995" s="12"/>
      <c r="M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2.75" x14ac:dyDescent="0.2">
      <c r="A996" s="13"/>
      <c r="B996" s="13"/>
      <c r="C996" s="13"/>
      <c r="D996" s="11"/>
      <c r="H996" s="12"/>
      <c r="I996" s="11"/>
      <c r="K996" s="12"/>
      <c r="L996" s="12"/>
      <c r="M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2.75" x14ac:dyDescent="0.2">
      <c r="A997" s="13"/>
      <c r="B997" s="13"/>
      <c r="C997" s="13"/>
      <c r="D997" s="11"/>
      <c r="H997" s="12"/>
      <c r="I997" s="11"/>
      <c r="K997" s="12"/>
      <c r="L997" s="12"/>
      <c r="M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2.75" x14ac:dyDescent="0.2">
      <c r="A998" s="13"/>
      <c r="B998" s="13"/>
      <c r="C998" s="13"/>
      <c r="D998" s="11"/>
      <c r="H998" s="12"/>
      <c r="I998" s="11"/>
      <c r="K998" s="12"/>
      <c r="L998" s="12"/>
      <c r="M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2.75" x14ac:dyDescent="0.2">
      <c r="A999" s="13"/>
      <c r="B999" s="13"/>
      <c r="C999" s="13"/>
      <c r="D999" s="11"/>
      <c r="H999" s="12"/>
      <c r="I999" s="11"/>
      <c r="K999" s="12"/>
      <c r="L999" s="12"/>
      <c r="M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2.75" x14ac:dyDescent="0.2">
      <c r="A1000" s="13"/>
      <c r="B1000" s="13"/>
      <c r="C1000" s="13"/>
      <c r="D1000" s="11"/>
      <c r="H1000" s="12"/>
      <c r="I1000" s="11"/>
      <c r="K1000" s="12"/>
      <c r="L1000" s="12"/>
      <c r="M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5">
    <mergeCell ref="E1:F1"/>
    <mergeCell ref="I1:J1"/>
    <mergeCell ref="E4:F4"/>
    <mergeCell ref="I4:J4"/>
    <mergeCell ref="E18:F1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M26" sqref="M26"/>
    </sheetView>
  </sheetViews>
  <sheetFormatPr defaultColWidth="12.5703125" defaultRowHeight="15.75" customHeight="1" x14ac:dyDescent="0.2"/>
  <cols>
    <col min="3" max="3" width="14.28515625" customWidth="1"/>
    <col min="4" max="4" width="15.42578125" customWidth="1"/>
    <col min="5" max="5" width="14.5703125" customWidth="1"/>
  </cols>
  <sheetData>
    <row r="1" spans="1:10" ht="33.75" customHeight="1" x14ac:dyDescent="0.2">
      <c r="A1" s="6" t="s">
        <v>581</v>
      </c>
      <c r="B1" s="6" t="s">
        <v>582</v>
      </c>
      <c r="C1" s="6" t="s">
        <v>588</v>
      </c>
      <c r="D1" s="6" t="s">
        <v>589</v>
      </c>
      <c r="E1" s="6" t="s">
        <v>581</v>
      </c>
      <c r="F1" s="6" t="s">
        <v>590</v>
      </c>
      <c r="G1" s="6" t="s">
        <v>591</v>
      </c>
      <c r="H1" s="6" t="s">
        <v>582</v>
      </c>
      <c r="I1" s="33" t="s">
        <v>592</v>
      </c>
      <c r="J1" s="34"/>
    </row>
    <row r="2" spans="1:10" ht="12.75" x14ac:dyDescent="0.2">
      <c r="A2" s="9">
        <v>80.106809080000005</v>
      </c>
      <c r="B2" s="9">
        <v>8</v>
      </c>
      <c r="C2" s="14" t="s">
        <v>34</v>
      </c>
      <c r="D2" s="5" t="s">
        <v>56</v>
      </c>
      <c r="E2" s="15">
        <v>80.106809080000005</v>
      </c>
      <c r="F2" s="9">
        <v>49.474335189999998</v>
      </c>
      <c r="G2" s="16">
        <v>0</v>
      </c>
      <c r="H2" s="9">
        <v>0</v>
      </c>
      <c r="I2" s="17" t="s">
        <v>69</v>
      </c>
      <c r="J2" s="18">
        <v>9</v>
      </c>
    </row>
    <row r="3" spans="1:10" ht="12.75" x14ac:dyDescent="0.2">
      <c r="A3" s="9">
        <v>76.50273224</v>
      </c>
      <c r="B3" s="9">
        <v>12</v>
      </c>
      <c r="C3" s="14" t="s">
        <v>34</v>
      </c>
      <c r="D3" s="5" t="s">
        <v>56</v>
      </c>
      <c r="E3" s="15">
        <v>41.666666669999998</v>
      </c>
      <c r="F3" s="9">
        <v>51.604782880000002</v>
      </c>
      <c r="G3" s="16">
        <v>20</v>
      </c>
      <c r="H3" s="9">
        <v>0</v>
      </c>
      <c r="I3" s="17" t="s">
        <v>55</v>
      </c>
      <c r="J3" s="2">
        <v>13</v>
      </c>
    </row>
    <row r="4" spans="1:10" ht="12.75" x14ac:dyDescent="0.2">
      <c r="A4" s="9">
        <v>42.0131291</v>
      </c>
      <c r="B4" s="9">
        <v>0</v>
      </c>
      <c r="C4" s="14" t="s">
        <v>49</v>
      </c>
      <c r="D4" s="5" t="s">
        <v>56</v>
      </c>
      <c r="E4" s="15">
        <v>90.261282660000006</v>
      </c>
      <c r="F4" s="9">
        <v>35.27525387</v>
      </c>
      <c r="G4" s="16">
        <v>0</v>
      </c>
      <c r="H4" s="9">
        <v>0</v>
      </c>
      <c r="I4" s="17" t="s">
        <v>49</v>
      </c>
      <c r="J4" s="2">
        <v>31</v>
      </c>
    </row>
    <row r="5" spans="1:10" ht="12.75" x14ac:dyDescent="0.2">
      <c r="A5" s="9">
        <v>66.257668710000004</v>
      </c>
      <c r="B5" s="9">
        <v>4</v>
      </c>
      <c r="C5" s="14" t="s">
        <v>55</v>
      </c>
      <c r="D5" s="5" t="s">
        <v>56</v>
      </c>
      <c r="E5" s="15">
        <v>80.106809080000005</v>
      </c>
      <c r="F5" s="9">
        <v>76.50273224</v>
      </c>
      <c r="G5" s="16">
        <v>12</v>
      </c>
      <c r="H5" s="15">
        <v>8</v>
      </c>
      <c r="I5" s="17" t="s">
        <v>90</v>
      </c>
      <c r="J5" s="2">
        <v>16</v>
      </c>
    </row>
    <row r="6" spans="1:10" ht="12.75" x14ac:dyDescent="0.2">
      <c r="A6" s="9">
        <v>90.261282660000006</v>
      </c>
      <c r="B6" s="9">
        <v>6</v>
      </c>
      <c r="C6" s="14" t="s">
        <v>63</v>
      </c>
      <c r="D6" s="5" t="s">
        <v>56</v>
      </c>
      <c r="E6" s="15">
        <v>38.866396760000001</v>
      </c>
      <c r="F6" s="9">
        <v>42.0131291</v>
      </c>
      <c r="G6" s="16">
        <v>10</v>
      </c>
      <c r="H6" s="9">
        <v>12</v>
      </c>
      <c r="I6" s="17" t="s">
        <v>123</v>
      </c>
      <c r="J6" s="2">
        <v>17</v>
      </c>
    </row>
    <row r="7" spans="1:10" ht="12.75" x14ac:dyDescent="0.2">
      <c r="A7" s="9">
        <v>80.106809080000005</v>
      </c>
      <c r="B7" s="9">
        <v>14</v>
      </c>
      <c r="C7" s="14" t="s">
        <v>69</v>
      </c>
      <c r="D7" s="5" t="s">
        <v>56</v>
      </c>
      <c r="E7" s="15">
        <v>85.04398827</v>
      </c>
      <c r="F7" s="9">
        <v>66.257668710000004</v>
      </c>
      <c r="G7" s="16">
        <v>19</v>
      </c>
      <c r="H7" s="9">
        <v>0</v>
      </c>
      <c r="I7" s="17" t="s">
        <v>63</v>
      </c>
      <c r="J7" s="19">
        <v>4</v>
      </c>
    </row>
    <row r="8" spans="1:10" ht="12.75" x14ac:dyDescent="0.2">
      <c r="A8" s="9">
        <v>59.469941820000003</v>
      </c>
      <c r="B8" s="9">
        <v>1</v>
      </c>
      <c r="C8" s="14" t="s">
        <v>55</v>
      </c>
      <c r="D8" s="5" t="s">
        <v>56</v>
      </c>
      <c r="E8" s="15">
        <v>85.209981740000003</v>
      </c>
      <c r="F8" s="9">
        <v>47.155304970000003</v>
      </c>
      <c r="G8" s="16">
        <v>11</v>
      </c>
      <c r="H8" s="15">
        <v>0</v>
      </c>
      <c r="I8" s="17" t="s">
        <v>34</v>
      </c>
      <c r="J8" s="2">
        <v>6</v>
      </c>
    </row>
    <row r="9" spans="1:10" ht="12.75" x14ac:dyDescent="0.2">
      <c r="A9" s="9">
        <v>85.04398827</v>
      </c>
      <c r="B9" s="9">
        <v>9</v>
      </c>
      <c r="C9" s="14" t="s">
        <v>34</v>
      </c>
      <c r="D9" s="5" t="s">
        <v>56</v>
      </c>
      <c r="E9" s="15">
        <v>78.091106289999999</v>
      </c>
      <c r="F9" s="9">
        <v>59.469941820000003</v>
      </c>
      <c r="G9" s="16">
        <v>0</v>
      </c>
      <c r="H9" s="9">
        <v>4</v>
      </c>
      <c r="I9" s="17" t="s">
        <v>161</v>
      </c>
      <c r="J9" s="2">
        <v>12</v>
      </c>
    </row>
    <row r="10" spans="1:10" ht="12.75" x14ac:dyDescent="0.2">
      <c r="A10" s="9">
        <v>91.687041559999997</v>
      </c>
      <c r="B10" s="9">
        <v>20</v>
      </c>
      <c r="C10" s="20" t="s">
        <v>49</v>
      </c>
      <c r="D10" s="5" t="s">
        <v>56</v>
      </c>
      <c r="E10" s="15">
        <v>79.908675799999997</v>
      </c>
      <c r="F10" s="9">
        <v>52.781740370000001</v>
      </c>
      <c r="G10" s="16">
        <v>22</v>
      </c>
      <c r="H10" s="15">
        <v>6</v>
      </c>
    </row>
    <row r="11" spans="1:10" ht="20.25" customHeight="1" x14ac:dyDescent="0.2">
      <c r="A11" s="9">
        <v>85.209981740000003</v>
      </c>
      <c r="B11" s="9">
        <v>15</v>
      </c>
      <c r="C11" s="20" t="s">
        <v>49</v>
      </c>
      <c r="D11" s="5" t="s">
        <v>56</v>
      </c>
      <c r="E11" s="15">
        <v>59.236165239999998</v>
      </c>
      <c r="F11" s="9">
        <v>47.868361999999998</v>
      </c>
      <c r="G11" s="16">
        <v>0</v>
      </c>
      <c r="H11" s="15">
        <v>14</v>
      </c>
    </row>
    <row r="12" spans="1:10" ht="12.75" x14ac:dyDescent="0.2">
      <c r="A12" s="9">
        <v>76.804915510000001</v>
      </c>
      <c r="B12" s="9">
        <v>10</v>
      </c>
      <c r="C12" s="20" t="s">
        <v>90</v>
      </c>
      <c r="D12" s="5" t="s">
        <v>56</v>
      </c>
      <c r="E12" s="15">
        <v>84.175084179999999</v>
      </c>
      <c r="F12" s="9">
        <v>91.687041559999997</v>
      </c>
      <c r="G12" s="16">
        <v>7</v>
      </c>
      <c r="H12" s="15">
        <v>0</v>
      </c>
    </row>
    <row r="13" spans="1:10" ht="12.75" x14ac:dyDescent="0.2">
      <c r="A13" s="9">
        <v>78.091106289999999</v>
      </c>
      <c r="B13" s="9">
        <v>12</v>
      </c>
      <c r="C13" s="20" t="s">
        <v>49</v>
      </c>
      <c r="D13" s="5" t="s">
        <v>56</v>
      </c>
      <c r="E13" s="15">
        <v>52.56570713</v>
      </c>
      <c r="F13" s="9">
        <v>57.887120119999999</v>
      </c>
      <c r="G13" s="16">
        <v>10</v>
      </c>
      <c r="H13" s="9">
        <v>0</v>
      </c>
    </row>
    <row r="14" spans="1:10" ht="12.75" x14ac:dyDescent="0.2">
      <c r="A14" s="9">
        <v>74.874010080000005</v>
      </c>
      <c r="B14" s="9">
        <v>10</v>
      </c>
      <c r="C14" s="20" t="s">
        <v>123</v>
      </c>
      <c r="D14" s="5" t="s">
        <v>56</v>
      </c>
      <c r="E14" s="15">
        <v>44.382801659999998</v>
      </c>
      <c r="F14" s="9">
        <v>56.224899600000001</v>
      </c>
      <c r="G14" s="16">
        <v>10</v>
      </c>
      <c r="H14" s="9">
        <v>1</v>
      </c>
    </row>
    <row r="15" spans="1:10" ht="12.75" x14ac:dyDescent="0.2">
      <c r="A15" s="9">
        <v>88.815789469999999</v>
      </c>
      <c r="B15" s="9">
        <v>19</v>
      </c>
      <c r="C15" s="20" t="s">
        <v>49</v>
      </c>
      <c r="D15" s="5" t="s">
        <v>56</v>
      </c>
      <c r="E15" s="15">
        <v>46.260601389999998</v>
      </c>
      <c r="F15" s="9">
        <v>76.804915510000001</v>
      </c>
      <c r="G15" s="16">
        <v>1</v>
      </c>
      <c r="H15" s="9">
        <v>0</v>
      </c>
    </row>
    <row r="16" spans="1:10" ht="12.75" x14ac:dyDescent="0.2">
      <c r="A16" s="9">
        <v>79.908675799999997</v>
      </c>
      <c r="B16" s="9">
        <v>5</v>
      </c>
      <c r="C16" s="20" t="s">
        <v>55</v>
      </c>
      <c r="D16" s="5" t="s">
        <v>56</v>
      </c>
      <c r="E16" s="15">
        <v>97.902097900000001</v>
      </c>
      <c r="F16" s="9">
        <v>74.874010080000005</v>
      </c>
      <c r="G16" s="16">
        <v>7</v>
      </c>
      <c r="H16" s="15">
        <v>9</v>
      </c>
    </row>
    <row r="17" spans="1:8" ht="12.75" x14ac:dyDescent="0.2">
      <c r="A17" s="9">
        <v>24.09638554</v>
      </c>
      <c r="B17" s="9">
        <v>0</v>
      </c>
      <c r="C17" s="20" t="s">
        <v>90</v>
      </c>
      <c r="D17" s="5" t="s">
        <v>56</v>
      </c>
      <c r="E17" s="15">
        <v>57.239057240000001</v>
      </c>
      <c r="F17" s="9">
        <v>88.815789469999999</v>
      </c>
      <c r="G17" s="16">
        <v>5</v>
      </c>
      <c r="H17" s="9">
        <v>8</v>
      </c>
    </row>
    <row r="18" spans="1:8" ht="12.75" x14ac:dyDescent="0.2">
      <c r="A18" s="9">
        <v>60.150375940000004</v>
      </c>
      <c r="B18" s="9">
        <v>2</v>
      </c>
      <c r="C18" s="20" t="s">
        <v>123</v>
      </c>
      <c r="D18" s="5" t="s">
        <v>56</v>
      </c>
      <c r="E18" s="15">
        <v>76.759061829999993</v>
      </c>
      <c r="F18" s="9">
        <v>44.476327120000001</v>
      </c>
      <c r="G18" s="16">
        <v>10</v>
      </c>
      <c r="H18" s="15">
        <v>15</v>
      </c>
    </row>
    <row r="19" spans="1:8" ht="12.75" x14ac:dyDescent="0.2">
      <c r="A19" s="9">
        <v>61.957868650000002</v>
      </c>
      <c r="B19" s="9">
        <v>0</v>
      </c>
      <c r="C19" s="20" t="s">
        <v>49</v>
      </c>
      <c r="D19" s="5" t="s">
        <v>56</v>
      </c>
      <c r="E19" s="15">
        <v>56.695992179999998</v>
      </c>
      <c r="F19" s="9">
        <v>24.09638554</v>
      </c>
      <c r="G19" s="16">
        <v>7</v>
      </c>
      <c r="H19" s="9">
        <v>10</v>
      </c>
    </row>
    <row r="20" spans="1:8" ht="12.75" x14ac:dyDescent="0.2">
      <c r="A20" s="9">
        <v>84.175084179999999</v>
      </c>
      <c r="B20" s="9">
        <v>11</v>
      </c>
      <c r="C20" s="20" t="s">
        <v>123</v>
      </c>
      <c r="D20" s="5" t="s">
        <v>56</v>
      </c>
      <c r="E20" s="15">
        <v>81.460674159999996</v>
      </c>
      <c r="F20" s="9">
        <v>55.210489989999999</v>
      </c>
      <c r="G20" s="16">
        <v>9</v>
      </c>
      <c r="H20" s="9">
        <v>0</v>
      </c>
    </row>
    <row r="21" spans="1:8" ht="12.75" x14ac:dyDescent="0.2">
      <c r="A21" s="9">
        <v>72.211476469999994</v>
      </c>
      <c r="B21" s="9">
        <v>6</v>
      </c>
      <c r="C21" s="20" t="s">
        <v>123</v>
      </c>
      <c r="D21" s="5" t="s">
        <v>56</v>
      </c>
      <c r="E21" s="15">
        <v>56.529112490000003</v>
      </c>
      <c r="F21" s="9">
        <v>60.150375940000004</v>
      </c>
      <c r="H21" s="15">
        <v>5</v>
      </c>
    </row>
    <row r="22" spans="1:8" ht="12.75" x14ac:dyDescent="0.2">
      <c r="A22" s="9">
        <v>82.417582420000002</v>
      </c>
      <c r="B22" s="9">
        <v>10</v>
      </c>
      <c r="C22" s="20" t="s">
        <v>63</v>
      </c>
      <c r="D22" s="5" t="s">
        <v>56</v>
      </c>
      <c r="E22" s="15">
        <v>66.181336860000002</v>
      </c>
      <c r="F22" s="9">
        <v>34.822104469999999</v>
      </c>
      <c r="H22" s="9">
        <v>0</v>
      </c>
    </row>
    <row r="23" spans="1:8" ht="12.75" x14ac:dyDescent="0.2">
      <c r="A23" s="9">
        <v>83.135391920000004</v>
      </c>
      <c r="B23" s="9">
        <v>8</v>
      </c>
      <c r="C23" s="20" t="s">
        <v>123</v>
      </c>
      <c r="D23" s="5" t="s">
        <v>56</v>
      </c>
      <c r="E23" s="15">
        <v>85.697741750000006</v>
      </c>
      <c r="F23" s="9">
        <v>61.957868650000002</v>
      </c>
      <c r="H23" s="9">
        <v>0</v>
      </c>
    </row>
    <row r="24" spans="1:8" ht="12.75" x14ac:dyDescent="0.2">
      <c r="A24" s="9">
        <v>97.902097900000001</v>
      </c>
      <c r="B24" s="9">
        <v>17</v>
      </c>
      <c r="C24" s="20" t="s">
        <v>123</v>
      </c>
      <c r="D24" s="5" t="s">
        <v>56</v>
      </c>
      <c r="E24" s="15">
        <v>65.420560750000007</v>
      </c>
      <c r="F24" s="9">
        <v>61.736334409999998</v>
      </c>
      <c r="H24" s="9">
        <v>2</v>
      </c>
    </row>
    <row r="25" spans="1:8" ht="12.75" x14ac:dyDescent="0.2">
      <c r="A25" s="9">
        <v>75.975359339999997</v>
      </c>
      <c r="B25" s="9">
        <v>2</v>
      </c>
      <c r="C25" s="20" t="s">
        <v>161</v>
      </c>
      <c r="D25" s="5" t="s">
        <v>56</v>
      </c>
      <c r="E25" s="15">
        <v>53.264604810000002</v>
      </c>
      <c r="F25" s="9">
        <v>54.193548389999997</v>
      </c>
      <c r="H25" s="9">
        <v>0</v>
      </c>
    </row>
    <row r="26" spans="1:8" ht="12.75" x14ac:dyDescent="0.2">
      <c r="A26" s="9">
        <v>68.812430629999994</v>
      </c>
      <c r="B26" s="9">
        <v>11</v>
      </c>
      <c r="C26" s="20" t="s">
        <v>49</v>
      </c>
      <c r="D26" s="5" t="s">
        <v>56</v>
      </c>
      <c r="E26" s="15">
        <v>42.490842489999999</v>
      </c>
      <c r="F26" s="9">
        <v>58.708414869999999</v>
      </c>
      <c r="H26" s="9">
        <v>0</v>
      </c>
    </row>
    <row r="27" spans="1:8" ht="12.75" x14ac:dyDescent="0.2">
      <c r="A27" s="9">
        <v>76.759061829999993</v>
      </c>
      <c r="B27" s="9">
        <v>3</v>
      </c>
      <c r="C27" s="20" t="s">
        <v>123</v>
      </c>
      <c r="D27" s="5" t="s">
        <v>56</v>
      </c>
      <c r="E27" s="15">
        <v>67.632850239999996</v>
      </c>
      <c r="F27" s="9">
        <v>72.211476469999994</v>
      </c>
      <c r="H27" s="9">
        <v>4</v>
      </c>
    </row>
    <row r="28" spans="1:8" ht="12.75" x14ac:dyDescent="0.2">
      <c r="A28" s="9">
        <v>60.133630289999999</v>
      </c>
      <c r="B28" s="9">
        <v>0</v>
      </c>
      <c r="C28" s="20" t="s">
        <v>49</v>
      </c>
      <c r="D28" s="5" t="s">
        <v>56</v>
      </c>
      <c r="E28" s="15">
        <v>78.911564630000001</v>
      </c>
      <c r="F28" s="9">
        <v>82.417582420000002</v>
      </c>
      <c r="H28" s="15">
        <v>9</v>
      </c>
    </row>
    <row r="29" spans="1:8" ht="12.75" x14ac:dyDescent="0.2">
      <c r="A29" s="9">
        <v>84.21052632</v>
      </c>
      <c r="B29" s="9">
        <v>22</v>
      </c>
      <c r="C29" s="20" t="s">
        <v>90</v>
      </c>
      <c r="D29" s="5" t="s">
        <v>56</v>
      </c>
      <c r="E29" s="15">
        <v>56.962025320000002</v>
      </c>
      <c r="F29" s="9">
        <v>83.135391920000004</v>
      </c>
      <c r="H29" s="9">
        <v>0</v>
      </c>
    </row>
    <row r="30" spans="1:8" ht="12.75" x14ac:dyDescent="0.2">
      <c r="A30" s="9">
        <v>60.689655170000002</v>
      </c>
      <c r="B30" s="9">
        <v>0</v>
      </c>
      <c r="C30" s="20" t="s">
        <v>49</v>
      </c>
      <c r="D30" s="5" t="s">
        <v>56</v>
      </c>
      <c r="E30" s="15">
        <v>61.208875290000002</v>
      </c>
      <c r="F30" s="9">
        <v>75.975359339999997</v>
      </c>
      <c r="H30" s="9">
        <v>4</v>
      </c>
    </row>
    <row r="31" spans="1:8" ht="12.75" x14ac:dyDescent="0.2">
      <c r="A31" s="9">
        <v>47.281323880000002</v>
      </c>
      <c r="B31" s="9">
        <v>0</v>
      </c>
      <c r="C31" s="20" t="s">
        <v>55</v>
      </c>
      <c r="F31" s="9">
        <v>54.945054949999999</v>
      </c>
      <c r="H31" s="9">
        <v>6</v>
      </c>
    </row>
    <row r="32" spans="1:8" ht="12.75" x14ac:dyDescent="0.2">
      <c r="A32" s="9">
        <v>86.279209109999996</v>
      </c>
      <c r="B32" s="9">
        <v>8</v>
      </c>
      <c r="C32" s="20" t="s">
        <v>55</v>
      </c>
      <c r="F32" s="9">
        <v>68.812430629999994</v>
      </c>
      <c r="H32" s="9">
        <v>10</v>
      </c>
    </row>
    <row r="33" spans="1:8" ht="12.75" x14ac:dyDescent="0.2">
      <c r="A33" s="9">
        <v>72.051133059999998</v>
      </c>
      <c r="B33" s="9">
        <v>0</v>
      </c>
      <c r="C33" s="20" t="s">
        <v>63</v>
      </c>
      <c r="F33" s="9">
        <v>60.133630289999999</v>
      </c>
      <c r="H33" s="15">
        <v>0</v>
      </c>
    </row>
    <row r="34" spans="1:8" ht="12.75" x14ac:dyDescent="0.2">
      <c r="A34" s="9">
        <v>85.276482349999995</v>
      </c>
      <c r="B34" s="9">
        <v>13</v>
      </c>
      <c r="C34" s="20" t="s">
        <v>69</v>
      </c>
      <c r="F34" s="9">
        <v>84.21052632</v>
      </c>
      <c r="H34" s="15">
        <v>0</v>
      </c>
    </row>
    <row r="35" spans="1:8" ht="12.75" x14ac:dyDescent="0.2">
      <c r="A35" s="9">
        <v>73.215375230000006</v>
      </c>
      <c r="B35" s="9">
        <v>12</v>
      </c>
      <c r="C35" s="20" t="s">
        <v>49</v>
      </c>
      <c r="F35" s="9">
        <v>60.689655170000002</v>
      </c>
      <c r="H35" s="9">
        <v>8</v>
      </c>
    </row>
    <row r="36" spans="1:8" ht="12.75" x14ac:dyDescent="0.2">
      <c r="A36" s="9">
        <v>80.40739748</v>
      </c>
      <c r="B36" s="9">
        <v>11</v>
      </c>
      <c r="C36" s="20" t="s">
        <v>161</v>
      </c>
      <c r="F36" s="9">
        <v>47.281323880000002</v>
      </c>
      <c r="H36" s="15">
        <v>0</v>
      </c>
    </row>
    <row r="37" spans="1:8" ht="12.75" x14ac:dyDescent="0.2">
      <c r="A37" s="9">
        <v>78.096400239999994</v>
      </c>
      <c r="B37" s="9">
        <v>7</v>
      </c>
      <c r="C37" s="20" t="s">
        <v>55</v>
      </c>
      <c r="F37" s="9">
        <v>51.359516620000001</v>
      </c>
      <c r="H37" s="15">
        <v>17</v>
      </c>
    </row>
    <row r="38" spans="1:8" ht="12.75" x14ac:dyDescent="0.2">
      <c r="A38" s="9">
        <v>81.269841270000001</v>
      </c>
      <c r="B38" s="9">
        <v>7</v>
      </c>
      <c r="C38" s="20" t="s">
        <v>49</v>
      </c>
      <c r="F38" s="9">
        <v>86.279209109999996</v>
      </c>
      <c r="H38" s="9">
        <v>2</v>
      </c>
    </row>
    <row r="39" spans="1:8" ht="12.75" x14ac:dyDescent="0.2">
      <c r="A39" s="9">
        <v>67.848882040000007</v>
      </c>
      <c r="B39" s="9">
        <v>5</v>
      </c>
      <c r="C39" s="20" t="s">
        <v>49</v>
      </c>
      <c r="F39" s="9">
        <v>72.051133059999998</v>
      </c>
      <c r="H39" s="15">
        <v>0</v>
      </c>
    </row>
    <row r="40" spans="1:8" ht="12.75" x14ac:dyDescent="0.2">
      <c r="A40" s="9">
        <v>66.408411729999997</v>
      </c>
      <c r="B40" s="9">
        <v>2</v>
      </c>
      <c r="C40" s="20" t="s">
        <v>49</v>
      </c>
      <c r="F40" s="9">
        <v>85.276482349999995</v>
      </c>
      <c r="H40" s="9">
        <v>11</v>
      </c>
    </row>
    <row r="41" spans="1:8" ht="12.75" x14ac:dyDescent="0.2">
      <c r="A41" s="9">
        <v>81.460674159999996</v>
      </c>
      <c r="B41" s="9">
        <v>11</v>
      </c>
      <c r="C41" s="20" t="s">
        <v>55</v>
      </c>
      <c r="F41" s="9">
        <v>73.215375230000006</v>
      </c>
      <c r="H41" s="9">
        <v>0</v>
      </c>
    </row>
    <row r="42" spans="1:8" ht="12.75" x14ac:dyDescent="0.2">
      <c r="A42" s="9">
        <v>104.02476780000001</v>
      </c>
      <c r="B42" s="9">
        <v>18</v>
      </c>
      <c r="C42" s="20" t="s">
        <v>161</v>
      </c>
      <c r="F42" s="9">
        <v>58.189655170000002</v>
      </c>
      <c r="H42" s="9">
        <v>0</v>
      </c>
    </row>
    <row r="43" spans="1:8" ht="12.75" x14ac:dyDescent="0.2">
      <c r="A43" s="9">
        <v>56.529112490000003</v>
      </c>
      <c r="B43" s="9">
        <v>0</v>
      </c>
      <c r="C43" s="20" t="s">
        <v>55</v>
      </c>
      <c r="F43" s="9">
        <v>80.40739748</v>
      </c>
      <c r="H43" s="9">
        <v>0</v>
      </c>
    </row>
    <row r="44" spans="1:8" ht="12.75" x14ac:dyDescent="0.2">
      <c r="A44" s="9">
        <v>76.604554870000001</v>
      </c>
      <c r="B44" s="9">
        <v>7</v>
      </c>
      <c r="C44" s="20" t="s">
        <v>49</v>
      </c>
      <c r="F44" s="9">
        <v>78.096400239999994</v>
      </c>
      <c r="H44" s="9">
        <v>8</v>
      </c>
    </row>
    <row r="45" spans="1:8" ht="12.75" x14ac:dyDescent="0.2">
      <c r="A45" s="9">
        <v>56.75508945</v>
      </c>
      <c r="B45" s="9">
        <v>0</v>
      </c>
      <c r="C45" s="20" t="s">
        <v>90</v>
      </c>
      <c r="F45" s="9">
        <v>81.269841270000001</v>
      </c>
      <c r="H45" s="9">
        <v>0</v>
      </c>
    </row>
    <row r="46" spans="1:8" ht="12.75" x14ac:dyDescent="0.2">
      <c r="A46" s="9">
        <v>66.181336860000002</v>
      </c>
      <c r="B46" s="9">
        <v>0</v>
      </c>
      <c r="C46" s="20" t="s">
        <v>123</v>
      </c>
      <c r="F46" s="9">
        <v>67.848882040000007</v>
      </c>
      <c r="H46" s="9">
        <v>13</v>
      </c>
    </row>
    <row r="47" spans="1:8" ht="12.75" x14ac:dyDescent="0.2">
      <c r="A47" s="9">
        <v>85.697741750000006</v>
      </c>
      <c r="B47" s="9">
        <v>25</v>
      </c>
      <c r="C47" s="20" t="s">
        <v>123</v>
      </c>
      <c r="F47" s="9">
        <v>58.769513310000001</v>
      </c>
      <c r="H47" s="9">
        <v>12</v>
      </c>
    </row>
    <row r="48" spans="1:8" ht="12.75" x14ac:dyDescent="0.2">
      <c r="A48" s="9">
        <v>82.603254070000006</v>
      </c>
      <c r="B48" s="9">
        <v>20</v>
      </c>
      <c r="C48" s="20" t="s">
        <v>55</v>
      </c>
      <c r="F48" s="9">
        <v>50.083472450000002</v>
      </c>
      <c r="H48" s="15">
        <v>0</v>
      </c>
    </row>
    <row r="49" spans="1:8" ht="12.75" x14ac:dyDescent="0.2">
      <c r="A49" s="9">
        <v>82.663605050000001</v>
      </c>
      <c r="B49" s="9">
        <v>10</v>
      </c>
      <c r="C49" s="20" t="s">
        <v>34</v>
      </c>
      <c r="F49" s="9">
        <v>66.408411729999997</v>
      </c>
      <c r="H49" s="9">
        <v>0</v>
      </c>
    </row>
    <row r="50" spans="1:8" ht="12.75" x14ac:dyDescent="0.2">
      <c r="A50" s="9">
        <v>62.54442075</v>
      </c>
      <c r="B50" s="9">
        <v>1</v>
      </c>
      <c r="C50" s="20" t="s">
        <v>69</v>
      </c>
      <c r="F50" s="9">
        <v>104.02476780000001</v>
      </c>
      <c r="H50" s="9">
        <v>11</v>
      </c>
    </row>
    <row r="51" spans="1:8" ht="12.75" x14ac:dyDescent="0.2">
      <c r="A51" s="9">
        <v>78.720787209999997</v>
      </c>
      <c r="B51" s="9">
        <v>17</v>
      </c>
      <c r="C51" s="20" t="s">
        <v>123</v>
      </c>
      <c r="F51" s="9">
        <v>49.382716049999999</v>
      </c>
      <c r="H51" s="9">
        <v>7</v>
      </c>
    </row>
    <row r="52" spans="1:8" ht="12.75" x14ac:dyDescent="0.2">
      <c r="A52" s="9">
        <v>74.829931970000004</v>
      </c>
      <c r="B52" s="9">
        <v>10</v>
      </c>
      <c r="C52" s="20" t="s">
        <v>90</v>
      </c>
      <c r="F52" s="9">
        <v>57.18954248</v>
      </c>
      <c r="H52" s="9">
        <v>7</v>
      </c>
    </row>
    <row r="53" spans="1:8" ht="12.75" x14ac:dyDescent="0.2">
      <c r="A53" s="9">
        <v>64.927536230000001</v>
      </c>
      <c r="B53" s="9">
        <v>1</v>
      </c>
      <c r="C53" s="20" t="s">
        <v>69</v>
      </c>
      <c r="F53" s="9">
        <v>76.604554870000001</v>
      </c>
      <c r="H53" s="9">
        <v>5</v>
      </c>
    </row>
    <row r="54" spans="1:8" ht="12.75" x14ac:dyDescent="0.2">
      <c r="A54" s="9">
        <v>66.992323799999994</v>
      </c>
      <c r="B54" s="9">
        <v>7</v>
      </c>
      <c r="C54" s="20" t="s">
        <v>69</v>
      </c>
      <c r="F54" s="9">
        <v>56.75508945</v>
      </c>
      <c r="H54" s="9">
        <v>9</v>
      </c>
    </row>
    <row r="55" spans="1:8" ht="12.75" x14ac:dyDescent="0.2">
      <c r="A55" s="9">
        <v>68.610634649999994</v>
      </c>
      <c r="B55" s="9">
        <v>5</v>
      </c>
      <c r="C55" s="20" t="s">
        <v>90</v>
      </c>
      <c r="F55" s="9">
        <v>82.603254070000006</v>
      </c>
      <c r="H55" s="9">
        <v>0</v>
      </c>
    </row>
    <row r="56" spans="1:8" ht="12.75" x14ac:dyDescent="0.2">
      <c r="A56" s="9">
        <v>103.6806636</v>
      </c>
      <c r="B56" s="9">
        <v>24</v>
      </c>
      <c r="C56" s="20" t="s">
        <v>161</v>
      </c>
      <c r="F56" s="9">
        <v>36.339165549999997</v>
      </c>
      <c r="H56" s="9">
        <v>2</v>
      </c>
    </row>
    <row r="57" spans="1:8" ht="12.75" x14ac:dyDescent="0.2">
      <c r="A57" s="9">
        <v>68.681318680000004</v>
      </c>
      <c r="B57" s="9">
        <v>3</v>
      </c>
      <c r="C57" s="20" t="s">
        <v>161</v>
      </c>
      <c r="F57" s="9">
        <v>82.663605050000001</v>
      </c>
      <c r="H57" s="15">
        <v>11</v>
      </c>
    </row>
    <row r="58" spans="1:8" ht="12.75" x14ac:dyDescent="0.2">
      <c r="A58" s="9">
        <v>73.304825899999997</v>
      </c>
      <c r="B58" s="9">
        <v>9</v>
      </c>
      <c r="C58" s="20" t="s">
        <v>49</v>
      </c>
      <c r="F58" s="9">
        <v>63.814358230000003</v>
      </c>
      <c r="H58" s="9">
        <v>18</v>
      </c>
    </row>
    <row r="59" spans="1:8" ht="12.75" x14ac:dyDescent="0.2">
      <c r="A59" s="9">
        <v>51.58264947</v>
      </c>
      <c r="B59" s="9">
        <v>0</v>
      </c>
      <c r="C59" s="20" t="s">
        <v>55</v>
      </c>
      <c r="F59" s="9">
        <v>42.41948154</v>
      </c>
      <c r="H59" s="9">
        <v>0</v>
      </c>
    </row>
    <row r="60" spans="1:8" ht="12.75" x14ac:dyDescent="0.2">
      <c r="A60" s="9">
        <v>58.927519150000002</v>
      </c>
      <c r="B60" s="9">
        <v>0</v>
      </c>
      <c r="C60" s="20" t="s">
        <v>123</v>
      </c>
      <c r="F60" s="9">
        <v>62.54442075</v>
      </c>
      <c r="H60" s="9">
        <v>0</v>
      </c>
    </row>
    <row r="61" spans="1:8" ht="12.75" x14ac:dyDescent="0.2">
      <c r="A61" s="9">
        <v>78.911564630000001</v>
      </c>
      <c r="B61" s="9">
        <v>4</v>
      </c>
      <c r="C61" s="20" t="s">
        <v>49</v>
      </c>
      <c r="F61" s="9">
        <v>78.720787209999997</v>
      </c>
      <c r="H61" s="15">
        <v>0</v>
      </c>
    </row>
    <row r="62" spans="1:8" ht="12.75" x14ac:dyDescent="0.2">
      <c r="A62" s="9">
        <v>77.336197639999995</v>
      </c>
      <c r="B62" s="9">
        <v>10</v>
      </c>
      <c r="C62" s="20" t="s">
        <v>90</v>
      </c>
      <c r="F62" s="9">
        <v>74.829931970000004</v>
      </c>
      <c r="H62" s="9">
        <v>0</v>
      </c>
    </row>
    <row r="63" spans="1:8" ht="12.75" x14ac:dyDescent="0.2">
      <c r="A63" s="9">
        <v>73.858114670000006</v>
      </c>
      <c r="B63" s="9">
        <v>5</v>
      </c>
      <c r="C63" s="20" t="s">
        <v>49</v>
      </c>
      <c r="F63" s="9">
        <v>64.927536230000001</v>
      </c>
      <c r="H63" s="15">
        <v>0</v>
      </c>
    </row>
    <row r="64" spans="1:8" ht="12.75" x14ac:dyDescent="0.2">
      <c r="A64" s="9">
        <v>66.81852696</v>
      </c>
      <c r="B64" s="9">
        <v>3</v>
      </c>
      <c r="C64" s="20" t="s">
        <v>49</v>
      </c>
      <c r="F64" s="9">
        <v>66.992323799999994</v>
      </c>
      <c r="H64" s="15">
        <v>25</v>
      </c>
    </row>
    <row r="65" spans="1:8" ht="12.75" x14ac:dyDescent="0.2">
      <c r="A65" s="9">
        <v>80.499653019999997</v>
      </c>
      <c r="B65" s="9">
        <v>7</v>
      </c>
      <c r="C65" s="20" t="s">
        <v>49</v>
      </c>
      <c r="F65" s="9">
        <v>68.610634649999994</v>
      </c>
      <c r="H65" s="9">
        <v>20</v>
      </c>
    </row>
    <row r="66" spans="1:8" ht="12.75" x14ac:dyDescent="0.2">
      <c r="A66" s="9">
        <v>69.408740359999996</v>
      </c>
      <c r="B66" s="9">
        <v>9</v>
      </c>
      <c r="C66" s="20" t="s">
        <v>49</v>
      </c>
      <c r="F66" s="9">
        <v>103.6806636</v>
      </c>
      <c r="H66" s="9">
        <v>0</v>
      </c>
    </row>
    <row r="67" spans="1:8" ht="12.75" x14ac:dyDescent="0.2">
      <c r="A67" s="9">
        <v>83.983203360000005</v>
      </c>
      <c r="B67" s="9">
        <v>9</v>
      </c>
      <c r="C67" s="20" t="s">
        <v>49</v>
      </c>
      <c r="F67" s="9">
        <v>68.681318680000004</v>
      </c>
      <c r="H67" s="9">
        <v>3</v>
      </c>
    </row>
    <row r="68" spans="1:8" ht="12.75" x14ac:dyDescent="0.2">
      <c r="A68" s="9">
        <v>49.474335189999998</v>
      </c>
      <c r="B68" s="9">
        <v>0</v>
      </c>
      <c r="C68" s="20" t="s">
        <v>49</v>
      </c>
      <c r="F68" s="9">
        <v>73.304825899999997</v>
      </c>
      <c r="H68" s="9">
        <v>0</v>
      </c>
    </row>
    <row r="69" spans="1:8" ht="12.75" x14ac:dyDescent="0.2">
      <c r="A69" s="9">
        <v>51.604782880000002</v>
      </c>
      <c r="B69" s="9">
        <v>0</v>
      </c>
      <c r="C69" s="20" t="s">
        <v>90</v>
      </c>
      <c r="F69" s="9">
        <v>51.58264947</v>
      </c>
      <c r="H69" s="9">
        <v>1</v>
      </c>
    </row>
    <row r="70" spans="1:8" ht="12.75" x14ac:dyDescent="0.2">
      <c r="A70" s="9">
        <v>35.27525387</v>
      </c>
      <c r="B70" s="9">
        <v>0</v>
      </c>
      <c r="C70" s="20" t="s">
        <v>161</v>
      </c>
      <c r="F70" s="9">
        <v>58.927519150000002</v>
      </c>
      <c r="H70" s="9">
        <v>17</v>
      </c>
    </row>
    <row r="71" spans="1:8" ht="12.75" x14ac:dyDescent="0.2">
      <c r="A71" s="9">
        <v>41.666666669999998</v>
      </c>
      <c r="B71" s="9">
        <v>0</v>
      </c>
      <c r="C71" s="20" t="s">
        <v>123</v>
      </c>
      <c r="F71" s="9">
        <v>45.454545449999998</v>
      </c>
      <c r="H71" s="15">
        <v>1</v>
      </c>
    </row>
    <row r="72" spans="1:8" ht="12.75" x14ac:dyDescent="0.2">
      <c r="A72" s="9">
        <v>38.866396760000001</v>
      </c>
      <c r="B72" s="9">
        <v>0</v>
      </c>
      <c r="C72" s="20" t="s">
        <v>123</v>
      </c>
      <c r="F72" s="9">
        <v>77.336197639999995</v>
      </c>
      <c r="H72" s="15">
        <v>0</v>
      </c>
    </row>
    <row r="73" spans="1:8" ht="12.75" x14ac:dyDescent="0.2">
      <c r="A73" s="9">
        <v>47.155304970000003</v>
      </c>
      <c r="B73" s="9">
        <v>0</v>
      </c>
      <c r="C73" s="20" t="s">
        <v>161</v>
      </c>
      <c r="F73" s="9">
        <v>73.858114670000006</v>
      </c>
      <c r="H73" s="15">
        <v>0</v>
      </c>
    </row>
    <row r="74" spans="1:8" ht="12.75" x14ac:dyDescent="0.2">
      <c r="A74" s="9">
        <v>52.781740370000001</v>
      </c>
      <c r="B74" s="9">
        <v>0</v>
      </c>
      <c r="C74" s="20" t="s">
        <v>49</v>
      </c>
      <c r="F74" s="9">
        <v>66.81852696</v>
      </c>
      <c r="H74" s="9">
        <v>24</v>
      </c>
    </row>
    <row r="75" spans="1:8" ht="12.75" x14ac:dyDescent="0.2">
      <c r="A75" s="9">
        <v>47.868361999999998</v>
      </c>
      <c r="B75" s="9">
        <v>0</v>
      </c>
      <c r="C75" s="20" t="s">
        <v>69</v>
      </c>
      <c r="F75" s="9">
        <v>80.499653019999997</v>
      </c>
      <c r="H75" s="9">
        <v>3</v>
      </c>
    </row>
    <row r="76" spans="1:8" ht="12.75" x14ac:dyDescent="0.2">
      <c r="A76" s="9">
        <v>57.887120119999999</v>
      </c>
      <c r="B76" s="9">
        <v>8</v>
      </c>
      <c r="C76" s="20" t="s">
        <v>49</v>
      </c>
      <c r="F76" s="9">
        <v>69.408740359999996</v>
      </c>
      <c r="H76" s="9">
        <v>9</v>
      </c>
    </row>
    <row r="77" spans="1:8" ht="12.75" x14ac:dyDescent="0.2">
      <c r="A77" s="9">
        <v>56.224899600000001</v>
      </c>
      <c r="B77" s="9">
        <v>0</v>
      </c>
      <c r="C77" s="20" t="s">
        <v>90</v>
      </c>
      <c r="F77" s="9">
        <v>49.34464148</v>
      </c>
      <c r="H77" s="9">
        <v>0</v>
      </c>
    </row>
    <row r="78" spans="1:8" ht="12.75" x14ac:dyDescent="0.2">
      <c r="A78" s="9">
        <v>44.476327120000001</v>
      </c>
      <c r="B78" s="9">
        <v>0</v>
      </c>
      <c r="C78" s="20" t="s">
        <v>49</v>
      </c>
      <c r="F78" s="9">
        <v>45.454545449999998</v>
      </c>
      <c r="H78" s="9">
        <v>0</v>
      </c>
    </row>
    <row r="79" spans="1:8" ht="12.75" x14ac:dyDescent="0.2">
      <c r="A79" s="9">
        <v>55.210489989999999</v>
      </c>
      <c r="B79" s="9">
        <v>0</v>
      </c>
      <c r="C79" s="20" t="s">
        <v>63</v>
      </c>
      <c r="F79" s="9">
        <v>46.890927619999999</v>
      </c>
      <c r="H79" s="9">
        <v>0</v>
      </c>
    </row>
    <row r="80" spans="1:8" ht="12.75" x14ac:dyDescent="0.2">
      <c r="A80" s="9">
        <v>34.822104469999999</v>
      </c>
      <c r="B80" s="9">
        <v>0</v>
      </c>
      <c r="C80" s="20" t="s">
        <v>161</v>
      </c>
      <c r="F80" s="9">
        <v>83.983203360000005</v>
      </c>
      <c r="H80" s="15">
        <v>4</v>
      </c>
    </row>
    <row r="81" spans="1:8" ht="12.75" x14ac:dyDescent="0.2">
      <c r="A81" s="9">
        <v>61.736334409999998</v>
      </c>
      <c r="B81" s="9">
        <v>4</v>
      </c>
      <c r="C81" s="20" t="s">
        <v>49</v>
      </c>
      <c r="H81" s="15">
        <v>4</v>
      </c>
    </row>
    <row r="82" spans="1:8" ht="12.75" x14ac:dyDescent="0.2">
      <c r="A82" s="9">
        <v>59.236165239999998</v>
      </c>
      <c r="B82" s="9">
        <v>9</v>
      </c>
      <c r="C82" s="20" t="s">
        <v>55</v>
      </c>
      <c r="H82" s="9">
        <v>5</v>
      </c>
    </row>
    <row r="83" spans="1:8" ht="12.75" x14ac:dyDescent="0.2">
      <c r="A83" s="9">
        <v>54.193548389999997</v>
      </c>
      <c r="B83" s="9">
        <v>0</v>
      </c>
      <c r="C83" s="20" t="s">
        <v>90</v>
      </c>
      <c r="H83" s="9">
        <v>3</v>
      </c>
    </row>
    <row r="84" spans="1:8" ht="12.75" x14ac:dyDescent="0.2">
      <c r="A84" s="9">
        <v>58.708414869999999</v>
      </c>
      <c r="B84" s="9">
        <v>4</v>
      </c>
      <c r="C84" s="20" t="s">
        <v>161</v>
      </c>
      <c r="H84" s="15">
        <v>1</v>
      </c>
    </row>
    <row r="85" spans="1:8" ht="12.75" x14ac:dyDescent="0.2">
      <c r="A85" s="9">
        <v>52.56570713</v>
      </c>
      <c r="B85" s="9">
        <v>0</v>
      </c>
      <c r="C85" s="20" t="s">
        <v>69</v>
      </c>
      <c r="H85" s="9">
        <v>0</v>
      </c>
    </row>
    <row r="86" spans="1:8" ht="12.75" x14ac:dyDescent="0.2">
      <c r="A86" s="9">
        <v>44.382801659999998</v>
      </c>
      <c r="B86" s="9">
        <v>0</v>
      </c>
      <c r="C86" s="20" t="s">
        <v>90</v>
      </c>
      <c r="H86" s="9">
        <v>0</v>
      </c>
    </row>
    <row r="87" spans="1:8" ht="12.75" x14ac:dyDescent="0.2">
      <c r="A87" s="9">
        <v>46.260601389999998</v>
      </c>
      <c r="B87" s="9">
        <v>0</v>
      </c>
      <c r="C87" s="20" t="s">
        <v>161</v>
      </c>
      <c r="H87" s="9">
        <v>0</v>
      </c>
    </row>
    <row r="88" spans="1:8" ht="12.75" x14ac:dyDescent="0.2">
      <c r="A88" s="9">
        <v>54.945054949999999</v>
      </c>
      <c r="B88" s="9">
        <v>0</v>
      </c>
      <c r="C88" s="20" t="s">
        <v>161</v>
      </c>
      <c r="H88" s="15">
        <v>8</v>
      </c>
    </row>
    <row r="89" spans="1:8" ht="12.75" x14ac:dyDescent="0.2">
      <c r="A89" s="9">
        <v>57.239057240000001</v>
      </c>
      <c r="B89" s="9">
        <v>0</v>
      </c>
      <c r="C89" s="20" t="s">
        <v>49</v>
      </c>
      <c r="H89" s="9">
        <v>9</v>
      </c>
    </row>
    <row r="90" spans="1:8" ht="12.75" x14ac:dyDescent="0.2">
      <c r="A90" s="9">
        <v>51.359516620000001</v>
      </c>
      <c r="B90" s="9">
        <v>0</v>
      </c>
      <c r="C90" s="20" t="s">
        <v>49</v>
      </c>
    </row>
    <row r="91" spans="1:8" ht="12.75" x14ac:dyDescent="0.2">
      <c r="A91" s="9">
        <v>56.695992179999998</v>
      </c>
      <c r="B91" s="9">
        <v>0</v>
      </c>
      <c r="C91" s="20" t="s">
        <v>90</v>
      </c>
    </row>
    <row r="92" spans="1:8" ht="12.75" x14ac:dyDescent="0.2">
      <c r="A92" s="9">
        <v>58.189655170000002</v>
      </c>
      <c r="B92" s="9">
        <v>0</v>
      </c>
      <c r="C92" s="20" t="s">
        <v>90</v>
      </c>
    </row>
    <row r="93" spans="1:8" ht="12.75" x14ac:dyDescent="0.2">
      <c r="A93" s="9">
        <v>58.769513310000001</v>
      </c>
      <c r="B93" s="9">
        <v>9</v>
      </c>
      <c r="C93" s="20" t="s">
        <v>34</v>
      </c>
    </row>
    <row r="94" spans="1:8" ht="12.75" x14ac:dyDescent="0.2">
      <c r="A94" s="9">
        <v>50.083472450000002</v>
      </c>
      <c r="B94" s="9">
        <v>0</v>
      </c>
      <c r="C94" s="20" t="s">
        <v>49</v>
      </c>
    </row>
    <row r="95" spans="1:8" ht="12.75" x14ac:dyDescent="0.2">
      <c r="A95" s="9">
        <v>49.382716049999999</v>
      </c>
      <c r="B95" s="9">
        <v>0</v>
      </c>
      <c r="C95" s="20" t="s">
        <v>69</v>
      </c>
    </row>
    <row r="96" spans="1:8" ht="12.75" x14ac:dyDescent="0.2">
      <c r="A96" s="9">
        <v>57.18954248</v>
      </c>
      <c r="B96" s="9">
        <v>0</v>
      </c>
      <c r="C96" s="20" t="s">
        <v>49</v>
      </c>
    </row>
    <row r="97" spans="1:3" ht="12.75" x14ac:dyDescent="0.2">
      <c r="A97" s="9">
        <v>36.339165549999997</v>
      </c>
      <c r="B97" s="9">
        <v>0</v>
      </c>
      <c r="C97" s="20" t="s">
        <v>34</v>
      </c>
    </row>
    <row r="98" spans="1:3" ht="12.75" x14ac:dyDescent="0.2">
      <c r="A98" s="9">
        <v>63.814358230000003</v>
      </c>
      <c r="B98" s="9">
        <v>3</v>
      </c>
      <c r="C98" s="20" t="s">
        <v>69</v>
      </c>
    </row>
    <row r="99" spans="1:3" ht="12.75" x14ac:dyDescent="0.2">
      <c r="A99" s="9">
        <v>42.41948154</v>
      </c>
      <c r="B99" s="9">
        <v>0</v>
      </c>
      <c r="C99" s="20" t="s">
        <v>90</v>
      </c>
    </row>
    <row r="100" spans="1:3" ht="12.75" x14ac:dyDescent="0.2">
      <c r="A100" s="9">
        <v>65.420560750000007</v>
      </c>
      <c r="B100" s="9">
        <v>1</v>
      </c>
      <c r="C100" s="20" t="s">
        <v>49</v>
      </c>
    </row>
    <row r="101" spans="1:3" ht="12.75" x14ac:dyDescent="0.2">
      <c r="A101" s="9">
        <v>53.264604810000002</v>
      </c>
      <c r="B101" s="9">
        <v>0</v>
      </c>
      <c r="C101" s="20" t="s">
        <v>90</v>
      </c>
    </row>
    <row r="102" spans="1:3" ht="12.75" x14ac:dyDescent="0.2">
      <c r="A102" s="9">
        <v>42.490842489999999</v>
      </c>
      <c r="B102" s="9">
        <v>0</v>
      </c>
      <c r="C102" s="20" t="s">
        <v>161</v>
      </c>
    </row>
    <row r="103" spans="1:3" ht="12.75" x14ac:dyDescent="0.2">
      <c r="A103" s="9">
        <v>45.454545449999998</v>
      </c>
      <c r="B103" s="9">
        <v>0</v>
      </c>
      <c r="C103" s="20" t="s">
        <v>123</v>
      </c>
    </row>
    <row r="104" spans="1:3" ht="12.75" x14ac:dyDescent="0.2">
      <c r="A104" s="9">
        <v>67.632850239999996</v>
      </c>
      <c r="B104" s="9">
        <v>4</v>
      </c>
      <c r="C104" s="20" t="s">
        <v>55</v>
      </c>
    </row>
    <row r="105" spans="1:3" ht="12.75" x14ac:dyDescent="0.2">
      <c r="A105" s="9">
        <v>56.962025320000002</v>
      </c>
      <c r="B105" s="9">
        <v>1</v>
      </c>
      <c r="C105" s="20" t="s">
        <v>123</v>
      </c>
    </row>
    <row r="106" spans="1:3" ht="12.75" x14ac:dyDescent="0.2">
      <c r="A106" s="9">
        <v>49.34464148</v>
      </c>
      <c r="B106" s="9">
        <v>0</v>
      </c>
      <c r="C106" s="20" t="s">
        <v>123</v>
      </c>
    </row>
    <row r="107" spans="1:3" ht="12.75" x14ac:dyDescent="0.2">
      <c r="A107" s="9">
        <v>45.454545449999998</v>
      </c>
      <c r="B107" s="9">
        <v>0</v>
      </c>
      <c r="C107" s="20" t="s">
        <v>55</v>
      </c>
    </row>
    <row r="108" spans="1:3" ht="12.75" x14ac:dyDescent="0.2">
      <c r="A108" s="9">
        <v>46.890927619999999</v>
      </c>
      <c r="B108" s="9">
        <v>0</v>
      </c>
      <c r="C108" s="20" t="s">
        <v>123</v>
      </c>
    </row>
    <row r="109" spans="1:3" ht="12.75" x14ac:dyDescent="0.2">
      <c r="A109" s="9">
        <v>61.208875290000002</v>
      </c>
      <c r="B109" s="9">
        <v>8</v>
      </c>
      <c r="C109" s="20" t="s">
        <v>90</v>
      </c>
    </row>
    <row r="110" spans="1:3" ht="12.75" x14ac:dyDescent="0.2">
      <c r="A110" s="13"/>
      <c r="B110" s="13"/>
      <c r="C110" s="21"/>
    </row>
    <row r="111" spans="1:3" ht="12.75" x14ac:dyDescent="0.2">
      <c r="A111" s="13"/>
      <c r="B111" s="13"/>
      <c r="C111" s="21"/>
    </row>
    <row r="112" spans="1:3" ht="12.75" x14ac:dyDescent="0.2">
      <c r="A112" s="13"/>
      <c r="B112" s="13"/>
      <c r="C112" s="21"/>
    </row>
    <row r="113" spans="1:3" ht="12.75" x14ac:dyDescent="0.2">
      <c r="A113" s="13"/>
      <c r="B113" s="13"/>
      <c r="C113" s="21"/>
    </row>
    <row r="114" spans="1:3" ht="12.75" x14ac:dyDescent="0.2">
      <c r="A114" s="13"/>
      <c r="B114" s="13"/>
      <c r="C114" s="21"/>
    </row>
    <row r="115" spans="1:3" ht="12.75" x14ac:dyDescent="0.2">
      <c r="A115" s="13"/>
      <c r="B115" s="13"/>
      <c r="C115" s="21"/>
    </row>
    <row r="116" spans="1:3" ht="12.75" x14ac:dyDescent="0.2">
      <c r="A116" s="13"/>
      <c r="B116" s="13"/>
      <c r="C116" s="21"/>
    </row>
    <row r="117" spans="1:3" ht="12.75" x14ac:dyDescent="0.2">
      <c r="A117" s="13"/>
      <c r="B117" s="13"/>
      <c r="C117" s="21"/>
    </row>
    <row r="118" spans="1:3" ht="12.75" x14ac:dyDescent="0.2">
      <c r="A118" s="13"/>
      <c r="B118" s="13"/>
      <c r="C118" s="21"/>
    </row>
    <row r="119" spans="1:3" ht="12.75" x14ac:dyDescent="0.2">
      <c r="A119" s="13"/>
      <c r="B119" s="13"/>
      <c r="C119" s="21"/>
    </row>
    <row r="120" spans="1:3" ht="12.75" x14ac:dyDescent="0.2">
      <c r="A120" s="13"/>
      <c r="B120" s="13"/>
      <c r="C120" s="21"/>
    </row>
    <row r="121" spans="1:3" ht="12.75" x14ac:dyDescent="0.2">
      <c r="A121" s="13"/>
      <c r="B121" s="13"/>
      <c r="C121" s="21"/>
    </row>
    <row r="122" spans="1:3" ht="12.75" x14ac:dyDescent="0.2">
      <c r="A122" s="13"/>
      <c r="B122" s="13"/>
      <c r="C122" s="21"/>
    </row>
    <row r="123" spans="1:3" ht="12.75" x14ac:dyDescent="0.2">
      <c r="A123" s="13"/>
      <c r="B123" s="13"/>
      <c r="C123" s="21"/>
    </row>
    <row r="124" spans="1:3" ht="12.75" x14ac:dyDescent="0.2">
      <c r="A124" s="13"/>
      <c r="B124" s="13"/>
      <c r="C124" s="21"/>
    </row>
    <row r="125" spans="1:3" ht="12.75" x14ac:dyDescent="0.2">
      <c r="A125" s="13"/>
      <c r="B125" s="13"/>
      <c r="C125" s="21"/>
    </row>
    <row r="126" spans="1:3" ht="12.75" x14ac:dyDescent="0.2">
      <c r="A126" s="13"/>
      <c r="B126" s="13"/>
      <c r="C126" s="21"/>
    </row>
    <row r="127" spans="1:3" ht="12.75" x14ac:dyDescent="0.2">
      <c r="A127" s="13"/>
      <c r="B127" s="13"/>
      <c r="C127" s="21"/>
    </row>
    <row r="128" spans="1:3" ht="12.75" x14ac:dyDescent="0.2">
      <c r="A128" s="13"/>
      <c r="B128" s="13"/>
      <c r="C128" s="21"/>
    </row>
    <row r="129" spans="1:3" ht="12.75" x14ac:dyDescent="0.2">
      <c r="A129" s="13"/>
      <c r="B129" s="13"/>
      <c r="C129" s="21"/>
    </row>
    <row r="130" spans="1:3" ht="12.75" x14ac:dyDescent="0.2">
      <c r="A130" s="13"/>
      <c r="B130" s="13"/>
      <c r="C130" s="21"/>
    </row>
    <row r="131" spans="1:3" ht="12.75" x14ac:dyDescent="0.2">
      <c r="A131" s="13"/>
      <c r="B131" s="13"/>
      <c r="C131" s="21"/>
    </row>
    <row r="132" spans="1:3" ht="12.75" x14ac:dyDescent="0.2">
      <c r="A132" s="13"/>
      <c r="B132" s="13"/>
      <c r="C132" s="21"/>
    </row>
    <row r="133" spans="1:3" ht="12.75" x14ac:dyDescent="0.2">
      <c r="A133" s="13"/>
      <c r="B133" s="13"/>
      <c r="C133" s="21"/>
    </row>
    <row r="134" spans="1:3" ht="12.75" x14ac:dyDescent="0.2">
      <c r="A134" s="13"/>
      <c r="B134" s="13"/>
      <c r="C134" s="21"/>
    </row>
    <row r="135" spans="1:3" ht="12.75" x14ac:dyDescent="0.2">
      <c r="A135" s="13"/>
      <c r="B135" s="13"/>
      <c r="C135" s="21"/>
    </row>
    <row r="136" spans="1:3" ht="12.75" x14ac:dyDescent="0.2">
      <c r="A136" s="13"/>
      <c r="B136" s="13"/>
      <c r="C136" s="21"/>
    </row>
    <row r="137" spans="1:3" ht="12.75" x14ac:dyDescent="0.2">
      <c r="A137" s="13"/>
      <c r="B137" s="13"/>
      <c r="C137" s="21"/>
    </row>
    <row r="138" spans="1:3" ht="12.75" x14ac:dyDescent="0.2">
      <c r="A138" s="13"/>
      <c r="B138" s="13"/>
      <c r="C138" s="21"/>
    </row>
    <row r="139" spans="1:3" ht="12.75" x14ac:dyDescent="0.2">
      <c r="A139" s="13"/>
      <c r="B139" s="13"/>
      <c r="C139" s="21"/>
    </row>
    <row r="140" spans="1:3" ht="12.75" x14ac:dyDescent="0.2">
      <c r="A140" s="13"/>
      <c r="B140" s="13"/>
      <c r="C140" s="21"/>
    </row>
    <row r="141" spans="1:3" ht="12.75" x14ac:dyDescent="0.2">
      <c r="A141" s="13"/>
      <c r="B141" s="13"/>
      <c r="C141" s="21"/>
    </row>
    <row r="142" spans="1:3" ht="12.75" x14ac:dyDescent="0.2">
      <c r="A142" s="13"/>
      <c r="B142" s="13"/>
      <c r="C142" s="21"/>
    </row>
    <row r="143" spans="1:3" ht="12.75" x14ac:dyDescent="0.2">
      <c r="A143" s="13"/>
      <c r="B143" s="13"/>
      <c r="C143" s="21"/>
    </row>
    <row r="144" spans="1:3" ht="12.75" x14ac:dyDescent="0.2">
      <c r="A144" s="13"/>
      <c r="B144" s="13"/>
      <c r="C144" s="21"/>
    </row>
    <row r="145" spans="1:3" ht="12.75" x14ac:dyDescent="0.2">
      <c r="A145" s="13"/>
      <c r="B145" s="13"/>
      <c r="C145" s="21"/>
    </row>
    <row r="146" spans="1:3" ht="12.75" x14ac:dyDescent="0.2">
      <c r="A146" s="13"/>
      <c r="B146" s="13"/>
      <c r="C146" s="21"/>
    </row>
    <row r="147" spans="1:3" ht="12.75" x14ac:dyDescent="0.2">
      <c r="A147" s="13"/>
      <c r="B147" s="13"/>
      <c r="C147" s="21"/>
    </row>
    <row r="148" spans="1:3" ht="12.75" x14ac:dyDescent="0.2">
      <c r="A148" s="13"/>
      <c r="B148" s="13"/>
      <c r="C148" s="21"/>
    </row>
    <row r="149" spans="1:3" ht="12.75" x14ac:dyDescent="0.2">
      <c r="A149" s="13"/>
      <c r="B149" s="13"/>
      <c r="C149" s="21"/>
    </row>
    <row r="150" spans="1:3" ht="12.75" x14ac:dyDescent="0.2">
      <c r="A150" s="13"/>
      <c r="B150" s="13"/>
      <c r="C150" s="21"/>
    </row>
    <row r="151" spans="1:3" ht="12.75" x14ac:dyDescent="0.2">
      <c r="A151" s="13"/>
      <c r="B151" s="13"/>
      <c r="C151" s="21"/>
    </row>
    <row r="152" spans="1:3" ht="12.75" x14ac:dyDescent="0.2">
      <c r="A152" s="13"/>
      <c r="B152" s="13"/>
      <c r="C152" s="21"/>
    </row>
    <row r="153" spans="1:3" ht="12.75" x14ac:dyDescent="0.2">
      <c r="A153" s="13"/>
      <c r="B153" s="13"/>
      <c r="C153" s="21"/>
    </row>
    <row r="154" spans="1:3" ht="12.75" x14ac:dyDescent="0.2">
      <c r="A154" s="13"/>
      <c r="B154" s="13"/>
      <c r="C154" s="21"/>
    </row>
    <row r="155" spans="1:3" ht="12.75" x14ac:dyDescent="0.2">
      <c r="A155" s="13"/>
      <c r="B155" s="13"/>
      <c r="C155" s="21"/>
    </row>
    <row r="156" spans="1:3" ht="12.75" x14ac:dyDescent="0.2">
      <c r="A156" s="13"/>
      <c r="B156" s="13"/>
      <c r="C156" s="21"/>
    </row>
    <row r="157" spans="1:3" ht="12.75" x14ac:dyDescent="0.2">
      <c r="A157" s="13"/>
      <c r="B157" s="13"/>
      <c r="C157" s="21"/>
    </row>
    <row r="158" spans="1:3" ht="12.75" x14ac:dyDescent="0.2">
      <c r="A158" s="13"/>
      <c r="B158" s="13"/>
      <c r="C158" s="21"/>
    </row>
    <row r="159" spans="1:3" ht="12.75" x14ac:dyDescent="0.2">
      <c r="A159" s="13"/>
      <c r="B159" s="13"/>
      <c r="C159" s="21"/>
    </row>
    <row r="160" spans="1:3" ht="12.75" x14ac:dyDescent="0.2">
      <c r="A160" s="13"/>
      <c r="B160" s="13"/>
      <c r="C160" s="21"/>
    </row>
    <row r="161" spans="1:3" ht="12.75" x14ac:dyDescent="0.2">
      <c r="A161" s="13"/>
      <c r="B161" s="13"/>
      <c r="C161" s="21"/>
    </row>
    <row r="162" spans="1:3" ht="12.75" x14ac:dyDescent="0.2">
      <c r="A162" s="13"/>
      <c r="B162" s="13"/>
      <c r="C162" s="21"/>
    </row>
    <row r="163" spans="1:3" ht="12.75" x14ac:dyDescent="0.2">
      <c r="A163" s="13"/>
      <c r="B163" s="13"/>
      <c r="C163" s="21"/>
    </row>
    <row r="164" spans="1:3" ht="12.75" x14ac:dyDescent="0.2">
      <c r="A164" s="13"/>
      <c r="B164" s="13"/>
      <c r="C164" s="21"/>
    </row>
    <row r="165" spans="1:3" ht="12.75" x14ac:dyDescent="0.2">
      <c r="A165" s="13"/>
      <c r="B165" s="13"/>
      <c r="C165" s="21"/>
    </row>
    <row r="166" spans="1:3" ht="12.75" x14ac:dyDescent="0.2">
      <c r="A166" s="13"/>
      <c r="B166" s="13"/>
      <c r="C166" s="21"/>
    </row>
    <row r="167" spans="1:3" ht="12.75" x14ac:dyDescent="0.2">
      <c r="A167" s="13"/>
      <c r="B167" s="13"/>
      <c r="C167" s="21"/>
    </row>
    <row r="168" spans="1:3" ht="12.75" x14ac:dyDescent="0.2">
      <c r="A168" s="13"/>
      <c r="B168" s="13"/>
      <c r="C168" s="21"/>
    </row>
    <row r="169" spans="1:3" ht="12.75" x14ac:dyDescent="0.2">
      <c r="A169" s="13"/>
      <c r="B169" s="13"/>
      <c r="C169" s="21"/>
    </row>
    <row r="170" spans="1:3" ht="12.75" x14ac:dyDescent="0.2">
      <c r="A170" s="13"/>
      <c r="B170" s="13"/>
      <c r="C170" s="21"/>
    </row>
    <row r="171" spans="1:3" ht="12.75" x14ac:dyDescent="0.2">
      <c r="A171" s="13"/>
      <c r="B171" s="13"/>
      <c r="C171" s="21"/>
    </row>
    <row r="172" spans="1:3" ht="12.75" x14ac:dyDescent="0.2">
      <c r="A172" s="13"/>
      <c r="B172" s="13"/>
      <c r="C172" s="21"/>
    </row>
    <row r="173" spans="1:3" ht="12.75" x14ac:dyDescent="0.2">
      <c r="A173" s="13"/>
      <c r="B173" s="13"/>
      <c r="C173" s="21"/>
    </row>
    <row r="174" spans="1:3" ht="12.75" x14ac:dyDescent="0.2">
      <c r="A174" s="13"/>
      <c r="B174" s="13"/>
      <c r="C174" s="21"/>
    </row>
    <row r="175" spans="1:3" ht="12.75" x14ac:dyDescent="0.2">
      <c r="A175" s="13"/>
      <c r="B175" s="13"/>
      <c r="C175" s="21"/>
    </row>
    <row r="176" spans="1:3" ht="12.75" x14ac:dyDescent="0.2">
      <c r="A176" s="13"/>
      <c r="B176" s="13"/>
      <c r="C176" s="21"/>
    </row>
    <row r="177" spans="1:3" ht="12.75" x14ac:dyDescent="0.2">
      <c r="A177" s="13"/>
      <c r="B177" s="13"/>
      <c r="C177" s="21"/>
    </row>
    <row r="178" spans="1:3" ht="12.75" x14ac:dyDescent="0.2">
      <c r="A178" s="13"/>
      <c r="B178" s="13"/>
      <c r="C178" s="21"/>
    </row>
    <row r="179" spans="1:3" ht="12.75" x14ac:dyDescent="0.2">
      <c r="A179" s="13"/>
      <c r="B179" s="13"/>
      <c r="C179" s="21"/>
    </row>
    <row r="180" spans="1:3" ht="12.75" x14ac:dyDescent="0.2">
      <c r="A180" s="13"/>
      <c r="B180" s="13"/>
      <c r="C180" s="21"/>
    </row>
    <row r="181" spans="1:3" ht="12.75" x14ac:dyDescent="0.2">
      <c r="A181" s="13"/>
      <c r="B181" s="13"/>
      <c r="C181" s="21"/>
    </row>
    <row r="182" spans="1:3" ht="12.75" x14ac:dyDescent="0.2">
      <c r="A182" s="13"/>
      <c r="B182" s="13"/>
      <c r="C182" s="21"/>
    </row>
    <row r="183" spans="1:3" ht="12.75" x14ac:dyDescent="0.2">
      <c r="A183" s="13"/>
      <c r="B183" s="13"/>
      <c r="C183" s="21"/>
    </row>
    <row r="184" spans="1:3" ht="12.75" x14ac:dyDescent="0.2">
      <c r="A184" s="13"/>
      <c r="B184" s="13"/>
      <c r="C184" s="21"/>
    </row>
    <row r="185" spans="1:3" ht="12.75" x14ac:dyDescent="0.2">
      <c r="A185" s="13"/>
      <c r="B185" s="13"/>
      <c r="C185" s="21"/>
    </row>
    <row r="186" spans="1:3" ht="12.75" x14ac:dyDescent="0.2">
      <c r="A186" s="13"/>
      <c r="B186" s="13"/>
      <c r="C186" s="21"/>
    </row>
    <row r="187" spans="1:3" ht="12.75" x14ac:dyDescent="0.2">
      <c r="A187" s="13"/>
      <c r="B187" s="13"/>
      <c r="C187" s="21"/>
    </row>
    <row r="188" spans="1:3" ht="12.75" x14ac:dyDescent="0.2">
      <c r="A188" s="13"/>
      <c r="B188" s="13"/>
      <c r="C188" s="21"/>
    </row>
    <row r="189" spans="1:3" ht="12.75" x14ac:dyDescent="0.2">
      <c r="A189" s="13"/>
      <c r="B189" s="13"/>
      <c r="C189" s="21"/>
    </row>
    <row r="190" spans="1:3" ht="12.75" x14ac:dyDescent="0.2">
      <c r="A190" s="13"/>
      <c r="B190" s="13"/>
      <c r="C190" s="21"/>
    </row>
    <row r="191" spans="1:3" ht="12.75" x14ac:dyDescent="0.2">
      <c r="A191" s="13"/>
      <c r="B191" s="13"/>
      <c r="C191" s="21"/>
    </row>
    <row r="192" spans="1:3" ht="12.75" x14ac:dyDescent="0.2">
      <c r="A192" s="13"/>
      <c r="B192" s="13"/>
      <c r="C192" s="21"/>
    </row>
    <row r="193" spans="1:3" ht="12.75" x14ac:dyDescent="0.2">
      <c r="A193" s="13"/>
      <c r="B193" s="13"/>
      <c r="C193" s="21"/>
    </row>
    <row r="194" spans="1:3" ht="12.75" x14ac:dyDescent="0.2">
      <c r="A194" s="13"/>
      <c r="B194" s="13"/>
      <c r="C194" s="21"/>
    </row>
    <row r="195" spans="1:3" ht="12.75" x14ac:dyDescent="0.2">
      <c r="A195" s="13"/>
      <c r="B195" s="13"/>
      <c r="C195" s="21"/>
    </row>
    <row r="196" spans="1:3" ht="12.75" x14ac:dyDescent="0.2">
      <c r="A196" s="13"/>
      <c r="B196" s="13"/>
      <c r="C196" s="21"/>
    </row>
    <row r="197" spans="1:3" ht="12.75" x14ac:dyDescent="0.2">
      <c r="A197" s="13"/>
      <c r="B197" s="13"/>
      <c r="C197" s="21"/>
    </row>
    <row r="198" spans="1:3" ht="12.75" x14ac:dyDescent="0.2">
      <c r="A198" s="13"/>
      <c r="B198" s="13"/>
      <c r="C198" s="21"/>
    </row>
    <row r="199" spans="1:3" ht="12.75" x14ac:dyDescent="0.2">
      <c r="A199" s="13"/>
      <c r="B199" s="13"/>
      <c r="C199" s="21"/>
    </row>
    <row r="200" spans="1:3" ht="12.75" x14ac:dyDescent="0.2">
      <c r="A200" s="13"/>
      <c r="B200" s="13"/>
      <c r="C200" s="21"/>
    </row>
    <row r="201" spans="1:3" ht="12.75" x14ac:dyDescent="0.2">
      <c r="A201" s="13"/>
      <c r="B201" s="13"/>
      <c r="C201" s="21"/>
    </row>
    <row r="202" spans="1:3" ht="12.75" x14ac:dyDescent="0.2">
      <c r="A202" s="13"/>
      <c r="B202" s="13"/>
      <c r="C202" s="21"/>
    </row>
    <row r="203" spans="1:3" ht="12.75" x14ac:dyDescent="0.2">
      <c r="A203" s="13"/>
      <c r="B203" s="13"/>
      <c r="C203" s="21"/>
    </row>
    <row r="204" spans="1:3" ht="12.75" x14ac:dyDescent="0.2">
      <c r="A204" s="13"/>
      <c r="B204" s="13"/>
      <c r="C204" s="21"/>
    </row>
    <row r="205" spans="1:3" ht="12.75" x14ac:dyDescent="0.2">
      <c r="A205" s="13"/>
      <c r="B205" s="13"/>
      <c r="C205" s="21"/>
    </row>
    <row r="206" spans="1:3" ht="12.75" x14ac:dyDescent="0.2">
      <c r="A206" s="13"/>
      <c r="B206" s="13"/>
      <c r="C206" s="21"/>
    </row>
    <row r="207" spans="1:3" ht="12.75" x14ac:dyDescent="0.2">
      <c r="A207" s="13"/>
      <c r="B207" s="13"/>
      <c r="C207" s="21"/>
    </row>
    <row r="208" spans="1:3" ht="12.75" x14ac:dyDescent="0.2">
      <c r="A208" s="13"/>
      <c r="B208" s="13"/>
      <c r="C208" s="21"/>
    </row>
    <row r="209" spans="1:3" ht="12.75" x14ac:dyDescent="0.2">
      <c r="A209" s="13"/>
      <c r="B209" s="13"/>
      <c r="C209" s="21"/>
    </row>
    <row r="210" spans="1:3" ht="12.75" x14ac:dyDescent="0.2">
      <c r="A210" s="13"/>
      <c r="B210" s="13"/>
      <c r="C210" s="21"/>
    </row>
    <row r="211" spans="1:3" ht="12.75" x14ac:dyDescent="0.2">
      <c r="A211" s="13"/>
      <c r="B211" s="13"/>
      <c r="C211" s="21"/>
    </row>
    <row r="212" spans="1:3" ht="12.75" x14ac:dyDescent="0.2">
      <c r="A212" s="13"/>
      <c r="B212" s="13"/>
      <c r="C212" s="21"/>
    </row>
    <row r="213" spans="1:3" ht="12.75" x14ac:dyDescent="0.2">
      <c r="A213" s="13"/>
      <c r="B213" s="13"/>
      <c r="C213" s="21"/>
    </row>
    <row r="214" spans="1:3" ht="12.75" x14ac:dyDescent="0.2">
      <c r="A214" s="13"/>
      <c r="B214" s="13"/>
      <c r="C214" s="21"/>
    </row>
    <row r="215" spans="1:3" ht="12.75" x14ac:dyDescent="0.2">
      <c r="A215" s="13"/>
      <c r="B215" s="13"/>
      <c r="C215" s="21"/>
    </row>
    <row r="216" spans="1:3" ht="12.75" x14ac:dyDescent="0.2">
      <c r="A216" s="13"/>
      <c r="B216" s="13"/>
      <c r="C216" s="21"/>
    </row>
    <row r="217" spans="1:3" ht="12.75" x14ac:dyDescent="0.2">
      <c r="A217" s="13"/>
      <c r="B217" s="13"/>
      <c r="C217" s="21"/>
    </row>
    <row r="218" spans="1:3" ht="12.75" x14ac:dyDescent="0.2">
      <c r="A218" s="13"/>
      <c r="B218" s="13"/>
      <c r="C218" s="21"/>
    </row>
    <row r="219" spans="1:3" ht="12.75" x14ac:dyDescent="0.2">
      <c r="A219" s="13"/>
      <c r="B219" s="13"/>
      <c r="C219" s="21"/>
    </row>
    <row r="220" spans="1:3" ht="12.75" x14ac:dyDescent="0.2">
      <c r="A220" s="13"/>
      <c r="B220" s="13"/>
      <c r="C220" s="21"/>
    </row>
    <row r="221" spans="1:3" ht="12.75" x14ac:dyDescent="0.2">
      <c r="A221" s="13"/>
      <c r="B221" s="13"/>
      <c r="C221" s="21"/>
    </row>
    <row r="222" spans="1:3" ht="12.75" x14ac:dyDescent="0.2">
      <c r="A222" s="13"/>
      <c r="B222" s="13"/>
      <c r="C222" s="21"/>
    </row>
    <row r="223" spans="1:3" ht="12.75" x14ac:dyDescent="0.2">
      <c r="A223" s="13"/>
      <c r="B223" s="13"/>
      <c r="C223" s="21"/>
    </row>
    <row r="224" spans="1:3" ht="12.75" x14ac:dyDescent="0.2">
      <c r="A224" s="13"/>
      <c r="B224" s="13"/>
      <c r="C224" s="21"/>
    </row>
    <row r="225" spans="1:3" ht="12.75" x14ac:dyDescent="0.2">
      <c r="A225" s="13"/>
      <c r="B225" s="13"/>
      <c r="C225" s="21"/>
    </row>
    <row r="226" spans="1:3" ht="12.75" x14ac:dyDescent="0.2">
      <c r="A226" s="13"/>
      <c r="B226" s="13"/>
      <c r="C226" s="21"/>
    </row>
    <row r="227" spans="1:3" ht="12.75" x14ac:dyDescent="0.2">
      <c r="A227" s="13"/>
      <c r="B227" s="13"/>
      <c r="C227" s="21"/>
    </row>
    <row r="228" spans="1:3" ht="12.75" x14ac:dyDescent="0.2">
      <c r="A228" s="13"/>
      <c r="B228" s="13"/>
      <c r="C228" s="21"/>
    </row>
    <row r="229" spans="1:3" ht="12.75" x14ac:dyDescent="0.2">
      <c r="A229" s="13"/>
      <c r="B229" s="13"/>
      <c r="C229" s="21"/>
    </row>
    <row r="230" spans="1:3" ht="12.75" x14ac:dyDescent="0.2">
      <c r="A230" s="13"/>
      <c r="B230" s="13"/>
      <c r="C230" s="21"/>
    </row>
    <row r="231" spans="1:3" ht="12.75" x14ac:dyDescent="0.2">
      <c r="A231" s="13"/>
      <c r="B231" s="13"/>
      <c r="C231" s="21"/>
    </row>
    <row r="232" spans="1:3" ht="12.75" x14ac:dyDescent="0.2">
      <c r="A232" s="13"/>
      <c r="B232" s="13"/>
      <c r="C232" s="21"/>
    </row>
    <row r="233" spans="1:3" ht="12.75" x14ac:dyDescent="0.2">
      <c r="A233" s="13"/>
      <c r="B233" s="13"/>
      <c r="C233" s="21"/>
    </row>
    <row r="234" spans="1:3" ht="12.75" x14ac:dyDescent="0.2">
      <c r="A234" s="13"/>
      <c r="B234" s="13"/>
      <c r="C234" s="21"/>
    </row>
    <row r="235" spans="1:3" ht="12.75" x14ac:dyDescent="0.2">
      <c r="A235" s="13"/>
      <c r="B235" s="13"/>
      <c r="C235" s="21"/>
    </row>
    <row r="236" spans="1:3" ht="12.75" x14ac:dyDescent="0.2">
      <c r="A236" s="13"/>
      <c r="B236" s="13"/>
      <c r="C236" s="21"/>
    </row>
    <row r="237" spans="1:3" ht="12.75" x14ac:dyDescent="0.2">
      <c r="A237" s="13"/>
      <c r="B237" s="13"/>
      <c r="C237" s="21"/>
    </row>
    <row r="238" spans="1:3" ht="12.75" x14ac:dyDescent="0.2">
      <c r="A238" s="13"/>
      <c r="B238" s="13"/>
      <c r="C238" s="21"/>
    </row>
    <row r="239" spans="1:3" ht="12.75" x14ac:dyDescent="0.2">
      <c r="A239" s="13"/>
      <c r="B239" s="13"/>
      <c r="C239" s="21"/>
    </row>
    <row r="240" spans="1:3" ht="12.75" x14ac:dyDescent="0.2">
      <c r="A240" s="13"/>
      <c r="B240" s="13"/>
      <c r="C240" s="21"/>
    </row>
    <row r="241" spans="1:3" ht="12.75" x14ac:dyDescent="0.2">
      <c r="A241" s="13"/>
      <c r="B241" s="13"/>
      <c r="C241" s="21"/>
    </row>
    <row r="242" spans="1:3" ht="12.75" x14ac:dyDescent="0.2">
      <c r="A242" s="13"/>
      <c r="B242" s="13"/>
      <c r="C242" s="21"/>
    </row>
    <row r="243" spans="1:3" ht="12.75" x14ac:dyDescent="0.2">
      <c r="A243" s="13"/>
      <c r="B243" s="13"/>
      <c r="C243" s="21"/>
    </row>
    <row r="244" spans="1:3" ht="12.75" x14ac:dyDescent="0.2">
      <c r="A244" s="13"/>
      <c r="B244" s="13"/>
      <c r="C244" s="21"/>
    </row>
    <row r="245" spans="1:3" ht="12.75" x14ac:dyDescent="0.2">
      <c r="A245" s="13"/>
      <c r="B245" s="13"/>
      <c r="C245" s="21"/>
    </row>
    <row r="246" spans="1:3" ht="12.75" x14ac:dyDescent="0.2">
      <c r="A246" s="13"/>
      <c r="B246" s="13"/>
      <c r="C246" s="21"/>
    </row>
    <row r="247" spans="1:3" ht="12.75" x14ac:dyDescent="0.2">
      <c r="A247" s="13"/>
      <c r="B247" s="13"/>
      <c r="C247" s="21"/>
    </row>
    <row r="248" spans="1:3" ht="12.75" x14ac:dyDescent="0.2">
      <c r="A248" s="13"/>
      <c r="B248" s="13"/>
      <c r="C248" s="21"/>
    </row>
    <row r="249" spans="1:3" ht="12.75" x14ac:dyDescent="0.2">
      <c r="A249" s="13"/>
      <c r="B249" s="13"/>
      <c r="C249" s="21"/>
    </row>
    <row r="250" spans="1:3" ht="12.75" x14ac:dyDescent="0.2">
      <c r="A250" s="13"/>
      <c r="B250" s="13"/>
      <c r="C250" s="21"/>
    </row>
    <row r="251" spans="1:3" ht="12.75" x14ac:dyDescent="0.2">
      <c r="A251" s="13"/>
      <c r="B251" s="13"/>
      <c r="C251" s="21"/>
    </row>
    <row r="252" spans="1:3" ht="12.75" x14ac:dyDescent="0.2">
      <c r="A252" s="13"/>
      <c r="B252" s="13"/>
      <c r="C252" s="21"/>
    </row>
    <row r="253" spans="1:3" ht="12.75" x14ac:dyDescent="0.2">
      <c r="A253" s="13"/>
      <c r="B253" s="13"/>
      <c r="C253" s="21"/>
    </row>
    <row r="254" spans="1:3" ht="12.75" x14ac:dyDescent="0.2">
      <c r="A254" s="13"/>
      <c r="B254" s="13"/>
      <c r="C254" s="21"/>
    </row>
    <row r="255" spans="1:3" ht="12.75" x14ac:dyDescent="0.2">
      <c r="A255" s="13"/>
      <c r="B255" s="13"/>
      <c r="C255" s="21"/>
    </row>
    <row r="256" spans="1:3" ht="12.75" x14ac:dyDescent="0.2">
      <c r="A256" s="13"/>
      <c r="B256" s="13"/>
      <c r="C256" s="21"/>
    </row>
    <row r="257" spans="1:3" ht="12.75" x14ac:dyDescent="0.2">
      <c r="A257" s="13"/>
      <c r="B257" s="13"/>
      <c r="C257" s="21"/>
    </row>
    <row r="258" spans="1:3" ht="12.75" x14ac:dyDescent="0.2">
      <c r="A258" s="13"/>
      <c r="B258" s="13"/>
      <c r="C258" s="21"/>
    </row>
    <row r="259" spans="1:3" ht="12.75" x14ac:dyDescent="0.2">
      <c r="A259" s="13"/>
      <c r="B259" s="13"/>
      <c r="C259" s="21"/>
    </row>
    <row r="260" spans="1:3" ht="12.75" x14ac:dyDescent="0.2">
      <c r="A260" s="13"/>
      <c r="B260" s="13"/>
      <c r="C260" s="21"/>
    </row>
    <row r="261" spans="1:3" ht="12.75" x14ac:dyDescent="0.2">
      <c r="A261" s="13"/>
      <c r="B261" s="13"/>
      <c r="C261" s="21"/>
    </row>
    <row r="262" spans="1:3" ht="12.75" x14ac:dyDescent="0.2">
      <c r="A262" s="13"/>
      <c r="B262" s="13"/>
      <c r="C262" s="21"/>
    </row>
    <row r="263" spans="1:3" ht="12.75" x14ac:dyDescent="0.2">
      <c r="A263" s="13"/>
      <c r="B263" s="13"/>
      <c r="C263" s="21"/>
    </row>
    <row r="264" spans="1:3" ht="12.75" x14ac:dyDescent="0.2">
      <c r="A264" s="13"/>
      <c r="B264" s="13"/>
      <c r="C264" s="21"/>
    </row>
    <row r="265" spans="1:3" ht="12.75" x14ac:dyDescent="0.2">
      <c r="A265" s="13"/>
      <c r="B265" s="13"/>
      <c r="C265" s="21"/>
    </row>
    <row r="266" spans="1:3" ht="12.75" x14ac:dyDescent="0.2">
      <c r="A266" s="13"/>
      <c r="B266" s="13"/>
      <c r="C266" s="21"/>
    </row>
    <row r="267" spans="1:3" ht="12.75" x14ac:dyDescent="0.2">
      <c r="A267" s="13"/>
      <c r="B267" s="13"/>
      <c r="C267" s="21"/>
    </row>
    <row r="268" spans="1:3" ht="12.75" x14ac:dyDescent="0.2">
      <c r="A268" s="13"/>
      <c r="B268" s="13"/>
      <c r="C268" s="21"/>
    </row>
    <row r="269" spans="1:3" ht="12.75" x14ac:dyDescent="0.2">
      <c r="A269" s="13"/>
      <c r="B269" s="13"/>
      <c r="C269" s="21"/>
    </row>
    <row r="270" spans="1:3" ht="12.75" x14ac:dyDescent="0.2">
      <c r="A270" s="13"/>
      <c r="B270" s="13"/>
      <c r="C270" s="21"/>
    </row>
    <row r="271" spans="1:3" ht="12.75" x14ac:dyDescent="0.2">
      <c r="A271" s="13"/>
      <c r="B271" s="13"/>
      <c r="C271" s="21"/>
    </row>
    <row r="272" spans="1:3" ht="12.75" x14ac:dyDescent="0.2">
      <c r="A272" s="13"/>
      <c r="B272" s="13"/>
      <c r="C272" s="21"/>
    </row>
    <row r="273" spans="1:3" ht="12.75" x14ac:dyDescent="0.2">
      <c r="A273" s="13"/>
      <c r="B273" s="13"/>
      <c r="C273" s="21"/>
    </row>
    <row r="274" spans="1:3" ht="12.75" x14ac:dyDescent="0.2">
      <c r="A274" s="13"/>
      <c r="B274" s="13"/>
      <c r="C274" s="21"/>
    </row>
    <row r="275" spans="1:3" ht="12.75" x14ac:dyDescent="0.2">
      <c r="A275" s="13"/>
      <c r="B275" s="13"/>
      <c r="C275" s="21"/>
    </row>
    <row r="276" spans="1:3" ht="12.75" x14ac:dyDescent="0.2">
      <c r="A276" s="13"/>
      <c r="B276" s="13"/>
      <c r="C276" s="21"/>
    </row>
    <row r="277" spans="1:3" ht="12.75" x14ac:dyDescent="0.2">
      <c r="A277" s="13"/>
      <c r="B277" s="13"/>
      <c r="C277" s="21"/>
    </row>
    <row r="278" spans="1:3" ht="12.75" x14ac:dyDescent="0.2">
      <c r="A278" s="13"/>
      <c r="B278" s="13"/>
      <c r="C278" s="21"/>
    </row>
    <row r="279" spans="1:3" ht="12.75" x14ac:dyDescent="0.2">
      <c r="A279" s="13"/>
      <c r="B279" s="13"/>
      <c r="C279" s="21"/>
    </row>
    <row r="280" spans="1:3" ht="12.75" x14ac:dyDescent="0.2">
      <c r="A280" s="13"/>
      <c r="B280" s="13"/>
      <c r="C280" s="21"/>
    </row>
    <row r="281" spans="1:3" ht="12.75" x14ac:dyDescent="0.2">
      <c r="A281" s="13"/>
      <c r="B281" s="13"/>
      <c r="C281" s="21"/>
    </row>
    <row r="282" spans="1:3" ht="12.75" x14ac:dyDescent="0.2">
      <c r="A282" s="13"/>
      <c r="B282" s="13"/>
      <c r="C282" s="21"/>
    </row>
    <row r="283" spans="1:3" ht="12.75" x14ac:dyDescent="0.2">
      <c r="A283" s="13"/>
      <c r="B283" s="13"/>
      <c r="C283" s="21"/>
    </row>
    <row r="284" spans="1:3" ht="12.75" x14ac:dyDescent="0.2">
      <c r="A284" s="13"/>
      <c r="B284" s="13"/>
      <c r="C284" s="21"/>
    </row>
    <row r="285" spans="1:3" ht="12.75" x14ac:dyDescent="0.2">
      <c r="A285" s="13"/>
      <c r="B285" s="13"/>
      <c r="C285" s="21"/>
    </row>
    <row r="286" spans="1:3" ht="12.75" x14ac:dyDescent="0.2">
      <c r="A286" s="13"/>
      <c r="B286" s="13"/>
      <c r="C286" s="21"/>
    </row>
    <row r="287" spans="1:3" ht="12.75" x14ac:dyDescent="0.2">
      <c r="A287" s="13"/>
      <c r="B287" s="13"/>
      <c r="C287" s="21"/>
    </row>
    <row r="288" spans="1:3" ht="12.75" x14ac:dyDescent="0.2">
      <c r="A288" s="13"/>
      <c r="B288" s="13"/>
      <c r="C288" s="21"/>
    </row>
    <row r="289" spans="1:3" ht="12.75" x14ac:dyDescent="0.2">
      <c r="A289" s="13"/>
      <c r="B289" s="13"/>
      <c r="C289" s="21"/>
    </row>
    <row r="290" spans="1:3" ht="12.75" x14ac:dyDescent="0.2">
      <c r="A290" s="13"/>
      <c r="B290" s="13"/>
      <c r="C290" s="21"/>
    </row>
    <row r="291" spans="1:3" ht="12.75" x14ac:dyDescent="0.2">
      <c r="A291" s="13"/>
      <c r="B291" s="13"/>
      <c r="C291" s="21"/>
    </row>
    <row r="292" spans="1:3" ht="12.75" x14ac:dyDescent="0.2">
      <c r="A292" s="13"/>
      <c r="B292" s="13"/>
      <c r="C292" s="21"/>
    </row>
    <row r="293" spans="1:3" ht="12.75" x14ac:dyDescent="0.2">
      <c r="A293" s="13"/>
      <c r="B293" s="13"/>
      <c r="C293" s="21"/>
    </row>
    <row r="294" spans="1:3" ht="12.75" x14ac:dyDescent="0.2">
      <c r="A294" s="13"/>
      <c r="B294" s="13"/>
      <c r="C294" s="21"/>
    </row>
    <row r="295" spans="1:3" ht="12.75" x14ac:dyDescent="0.2">
      <c r="A295" s="13"/>
      <c r="B295" s="13"/>
      <c r="C295" s="21"/>
    </row>
    <row r="296" spans="1:3" ht="12.75" x14ac:dyDescent="0.2">
      <c r="A296" s="13"/>
      <c r="B296" s="13"/>
      <c r="C296" s="21"/>
    </row>
    <row r="297" spans="1:3" ht="12.75" x14ac:dyDescent="0.2">
      <c r="A297" s="13"/>
      <c r="B297" s="13"/>
      <c r="C297" s="21"/>
    </row>
    <row r="298" spans="1:3" ht="12.75" x14ac:dyDescent="0.2">
      <c r="A298" s="13"/>
      <c r="B298" s="13"/>
      <c r="C298" s="21"/>
    </row>
    <row r="299" spans="1:3" ht="12.75" x14ac:dyDescent="0.2">
      <c r="A299" s="13"/>
      <c r="B299" s="13"/>
      <c r="C299" s="21"/>
    </row>
    <row r="300" spans="1:3" ht="12.75" x14ac:dyDescent="0.2">
      <c r="A300" s="13"/>
      <c r="B300" s="13"/>
      <c r="C300" s="21"/>
    </row>
    <row r="301" spans="1:3" ht="12.75" x14ac:dyDescent="0.2">
      <c r="A301" s="13"/>
      <c r="B301" s="13"/>
      <c r="C301" s="21"/>
    </row>
    <row r="302" spans="1:3" ht="12.75" x14ac:dyDescent="0.2">
      <c r="A302" s="13"/>
      <c r="B302" s="13"/>
      <c r="C302" s="21"/>
    </row>
    <row r="303" spans="1:3" ht="12.75" x14ac:dyDescent="0.2">
      <c r="A303" s="13"/>
      <c r="B303" s="13"/>
      <c r="C303" s="21"/>
    </row>
    <row r="304" spans="1:3" ht="12.75" x14ac:dyDescent="0.2">
      <c r="A304" s="13"/>
      <c r="B304" s="13"/>
      <c r="C304" s="21"/>
    </row>
    <row r="305" spans="1:3" ht="12.75" x14ac:dyDescent="0.2">
      <c r="A305" s="13"/>
      <c r="B305" s="13"/>
      <c r="C305" s="21"/>
    </row>
    <row r="306" spans="1:3" ht="12.75" x14ac:dyDescent="0.2">
      <c r="A306" s="13"/>
      <c r="B306" s="13"/>
      <c r="C306" s="21"/>
    </row>
    <row r="307" spans="1:3" ht="12.75" x14ac:dyDescent="0.2">
      <c r="A307" s="13"/>
      <c r="B307" s="13"/>
      <c r="C307" s="21"/>
    </row>
    <row r="308" spans="1:3" ht="12.75" x14ac:dyDescent="0.2">
      <c r="A308" s="13"/>
      <c r="B308" s="13"/>
      <c r="C308" s="21"/>
    </row>
    <row r="309" spans="1:3" ht="12.75" x14ac:dyDescent="0.2">
      <c r="A309" s="13"/>
      <c r="B309" s="13"/>
      <c r="C309" s="21"/>
    </row>
    <row r="310" spans="1:3" ht="12.75" x14ac:dyDescent="0.2">
      <c r="A310" s="13"/>
      <c r="B310" s="13"/>
      <c r="C310" s="21"/>
    </row>
    <row r="311" spans="1:3" ht="12.75" x14ac:dyDescent="0.2">
      <c r="A311" s="13"/>
      <c r="B311" s="13"/>
      <c r="C311" s="21"/>
    </row>
    <row r="312" spans="1:3" ht="12.75" x14ac:dyDescent="0.2">
      <c r="A312" s="13"/>
      <c r="B312" s="13"/>
      <c r="C312" s="21"/>
    </row>
    <row r="313" spans="1:3" ht="12.75" x14ac:dyDescent="0.2">
      <c r="A313" s="13"/>
      <c r="B313" s="13"/>
      <c r="C313" s="21"/>
    </row>
    <row r="314" spans="1:3" ht="12.75" x14ac:dyDescent="0.2">
      <c r="A314" s="13"/>
      <c r="B314" s="13"/>
      <c r="C314" s="21"/>
    </row>
    <row r="315" spans="1:3" ht="12.75" x14ac:dyDescent="0.2">
      <c r="A315" s="13"/>
      <c r="B315" s="13"/>
      <c r="C315" s="21"/>
    </row>
    <row r="316" spans="1:3" ht="12.75" x14ac:dyDescent="0.2">
      <c r="A316" s="13"/>
      <c r="B316" s="13"/>
      <c r="C316" s="21"/>
    </row>
    <row r="317" spans="1:3" ht="12.75" x14ac:dyDescent="0.2">
      <c r="A317" s="13"/>
      <c r="B317" s="13"/>
      <c r="C317" s="21"/>
    </row>
    <row r="318" spans="1:3" ht="12.75" x14ac:dyDescent="0.2">
      <c r="A318" s="13"/>
      <c r="B318" s="13"/>
      <c r="C318" s="21"/>
    </row>
    <row r="319" spans="1:3" ht="12.75" x14ac:dyDescent="0.2">
      <c r="A319" s="13"/>
      <c r="B319" s="13"/>
      <c r="C319" s="21"/>
    </row>
    <row r="320" spans="1:3" ht="12.75" x14ac:dyDescent="0.2">
      <c r="A320" s="13"/>
      <c r="B320" s="13"/>
      <c r="C320" s="21"/>
    </row>
    <row r="321" spans="1:3" ht="12.75" x14ac:dyDescent="0.2">
      <c r="A321" s="13"/>
      <c r="B321" s="13"/>
      <c r="C321" s="21"/>
    </row>
    <row r="322" spans="1:3" ht="12.75" x14ac:dyDescent="0.2">
      <c r="A322" s="13"/>
      <c r="B322" s="13"/>
      <c r="C322" s="21"/>
    </row>
    <row r="323" spans="1:3" ht="12.75" x14ac:dyDescent="0.2">
      <c r="A323" s="13"/>
      <c r="B323" s="13"/>
      <c r="C323" s="21"/>
    </row>
    <row r="324" spans="1:3" ht="12.75" x14ac:dyDescent="0.2">
      <c r="A324" s="13"/>
      <c r="B324" s="13"/>
      <c r="C324" s="21"/>
    </row>
    <row r="325" spans="1:3" ht="12.75" x14ac:dyDescent="0.2">
      <c r="A325" s="13"/>
      <c r="B325" s="13"/>
      <c r="C325" s="21"/>
    </row>
    <row r="326" spans="1:3" ht="12.75" x14ac:dyDescent="0.2">
      <c r="A326" s="13"/>
      <c r="B326" s="13"/>
      <c r="C326" s="21"/>
    </row>
    <row r="327" spans="1:3" ht="12.75" x14ac:dyDescent="0.2">
      <c r="A327" s="13"/>
      <c r="B327" s="13"/>
      <c r="C327" s="21"/>
    </row>
    <row r="328" spans="1:3" ht="12.75" x14ac:dyDescent="0.2">
      <c r="A328" s="13"/>
      <c r="B328" s="13"/>
      <c r="C328" s="21"/>
    </row>
    <row r="329" spans="1:3" ht="12.75" x14ac:dyDescent="0.2">
      <c r="A329" s="13"/>
      <c r="B329" s="13"/>
      <c r="C329" s="21"/>
    </row>
    <row r="330" spans="1:3" ht="12.75" x14ac:dyDescent="0.2">
      <c r="A330" s="13"/>
      <c r="B330" s="13"/>
      <c r="C330" s="21"/>
    </row>
    <row r="331" spans="1:3" ht="12.75" x14ac:dyDescent="0.2">
      <c r="A331" s="13"/>
      <c r="B331" s="13"/>
      <c r="C331" s="21"/>
    </row>
    <row r="332" spans="1:3" ht="12.75" x14ac:dyDescent="0.2">
      <c r="A332" s="13"/>
      <c r="B332" s="13"/>
      <c r="C332" s="21"/>
    </row>
    <row r="333" spans="1:3" ht="12.75" x14ac:dyDescent="0.2">
      <c r="A333" s="13"/>
      <c r="B333" s="13"/>
      <c r="C333" s="21"/>
    </row>
    <row r="334" spans="1:3" ht="12.75" x14ac:dyDescent="0.2">
      <c r="A334" s="13"/>
      <c r="B334" s="13"/>
      <c r="C334" s="21"/>
    </row>
    <row r="335" spans="1:3" ht="12.75" x14ac:dyDescent="0.2">
      <c r="A335" s="13"/>
      <c r="B335" s="13"/>
      <c r="C335" s="21"/>
    </row>
    <row r="336" spans="1:3" ht="12.75" x14ac:dyDescent="0.2">
      <c r="A336" s="13"/>
      <c r="B336" s="13"/>
      <c r="C336" s="21"/>
    </row>
    <row r="337" spans="1:3" ht="12.75" x14ac:dyDescent="0.2">
      <c r="A337" s="13"/>
      <c r="B337" s="13"/>
      <c r="C337" s="21"/>
    </row>
    <row r="338" spans="1:3" ht="12.75" x14ac:dyDescent="0.2">
      <c r="A338" s="13"/>
      <c r="B338" s="13"/>
      <c r="C338" s="21"/>
    </row>
    <row r="339" spans="1:3" ht="12.75" x14ac:dyDescent="0.2">
      <c r="A339" s="13"/>
      <c r="B339" s="13"/>
      <c r="C339" s="21"/>
    </row>
    <row r="340" spans="1:3" ht="12.75" x14ac:dyDescent="0.2">
      <c r="A340" s="13"/>
      <c r="B340" s="13"/>
      <c r="C340" s="21"/>
    </row>
    <row r="341" spans="1:3" ht="12.75" x14ac:dyDescent="0.2">
      <c r="A341" s="13"/>
      <c r="B341" s="13"/>
      <c r="C341" s="21"/>
    </row>
    <row r="342" spans="1:3" ht="12.75" x14ac:dyDescent="0.2">
      <c r="A342" s="13"/>
      <c r="B342" s="13"/>
      <c r="C342" s="21"/>
    </row>
    <row r="343" spans="1:3" ht="12.75" x14ac:dyDescent="0.2">
      <c r="A343" s="13"/>
      <c r="B343" s="13"/>
      <c r="C343" s="21"/>
    </row>
    <row r="344" spans="1:3" ht="12.75" x14ac:dyDescent="0.2">
      <c r="A344" s="13"/>
      <c r="B344" s="13"/>
      <c r="C344" s="21"/>
    </row>
    <row r="345" spans="1:3" ht="12.75" x14ac:dyDescent="0.2">
      <c r="A345" s="13"/>
      <c r="B345" s="13"/>
      <c r="C345" s="21"/>
    </row>
    <row r="346" spans="1:3" ht="12.75" x14ac:dyDescent="0.2">
      <c r="A346" s="13"/>
      <c r="B346" s="13"/>
      <c r="C346" s="21"/>
    </row>
    <row r="347" spans="1:3" ht="12.75" x14ac:dyDescent="0.2">
      <c r="A347" s="13"/>
      <c r="B347" s="13"/>
      <c r="C347" s="21"/>
    </row>
    <row r="348" spans="1:3" ht="12.75" x14ac:dyDescent="0.2">
      <c r="A348" s="13"/>
      <c r="B348" s="13"/>
      <c r="C348" s="21"/>
    </row>
    <row r="349" spans="1:3" ht="12.75" x14ac:dyDescent="0.2">
      <c r="A349" s="13"/>
      <c r="B349" s="13"/>
      <c r="C349" s="21"/>
    </row>
    <row r="350" spans="1:3" ht="12.75" x14ac:dyDescent="0.2">
      <c r="A350" s="13"/>
      <c r="B350" s="13"/>
      <c r="C350" s="21"/>
    </row>
    <row r="351" spans="1:3" ht="12.75" x14ac:dyDescent="0.2">
      <c r="A351" s="13"/>
      <c r="B351" s="13"/>
      <c r="C351" s="21"/>
    </row>
    <row r="352" spans="1:3" ht="12.75" x14ac:dyDescent="0.2">
      <c r="A352" s="13"/>
      <c r="B352" s="13"/>
      <c r="C352" s="21"/>
    </row>
    <row r="353" spans="1:3" ht="12.75" x14ac:dyDescent="0.2">
      <c r="A353" s="13"/>
      <c r="B353" s="13"/>
      <c r="C353" s="21"/>
    </row>
    <row r="354" spans="1:3" ht="12.75" x14ac:dyDescent="0.2">
      <c r="A354" s="13"/>
      <c r="B354" s="13"/>
      <c r="C354" s="21"/>
    </row>
    <row r="355" spans="1:3" ht="12.75" x14ac:dyDescent="0.2">
      <c r="A355" s="13"/>
      <c r="B355" s="13"/>
      <c r="C355" s="21"/>
    </row>
    <row r="356" spans="1:3" ht="12.75" x14ac:dyDescent="0.2">
      <c r="A356" s="13"/>
      <c r="B356" s="13"/>
      <c r="C356" s="21"/>
    </row>
    <row r="357" spans="1:3" ht="12.75" x14ac:dyDescent="0.2">
      <c r="A357" s="13"/>
      <c r="B357" s="13"/>
      <c r="C357" s="21"/>
    </row>
    <row r="358" spans="1:3" ht="12.75" x14ac:dyDescent="0.2">
      <c r="A358" s="13"/>
      <c r="B358" s="13"/>
      <c r="C358" s="21"/>
    </row>
    <row r="359" spans="1:3" ht="12.75" x14ac:dyDescent="0.2">
      <c r="A359" s="13"/>
      <c r="B359" s="13"/>
      <c r="C359" s="21"/>
    </row>
    <row r="360" spans="1:3" ht="12.75" x14ac:dyDescent="0.2">
      <c r="A360" s="13"/>
      <c r="B360" s="13"/>
      <c r="C360" s="21"/>
    </row>
    <row r="361" spans="1:3" ht="12.75" x14ac:dyDescent="0.2">
      <c r="A361" s="13"/>
      <c r="B361" s="13"/>
      <c r="C361" s="21"/>
    </row>
    <row r="362" spans="1:3" ht="12.75" x14ac:dyDescent="0.2">
      <c r="A362" s="13"/>
      <c r="B362" s="13"/>
      <c r="C362" s="21"/>
    </row>
    <row r="363" spans="1:3" ht="12.75" x14ac:dyDescent="0.2">
      <c r="A363" s="13"/>
      <c r="B363" s="13"/>
      <c r="C363" s="21"/>
    </row>
    <row r="364" spans="1:3" ht="12.75" x14ac:dyDescent="0.2">
      <c r="A364" s="13"/>
      <c r="B364" s="13"/>
      <c r="C364" s="21"/>
    </row>
    <row r="365" spans="1:3" ht="12.75" x14ac:dyDescent="0.2">
      <c r="A365" s="13"/>
      <c r="B365" s="13"/>
      <c r="C365" s="21"/>
    </row>
    <row r="366" spans="1:3" ht="12.75" x14ac:dyDescent="0.2">
      <c r="A366" s="13"/>
      <c r="B366" s="13"/>
      <c r="C366" s="21"/>
    </row>
    <row r="367" spans="1:3" ht="12.75" x14ac:dyDescent="0.2">
      <c r="A367" s="13"/>
      <c r="B367" s="13"/>
      <c r="C367" s="21"/>
    </row>
    <row r="368" spans="1:3" ht="12.75" x14ac:dyDescent="0.2">
      <c r="A368" s="13"/>
      <c r="B368" s="13"/>
      <c r="C368" s="21"/>
    </row>
    <row r="369" spans="1:3" ht="12.75" x14ac:dyDescent="0.2">
      <c r="A369" s="13"/>
      <c r="B369" s="13"/>
      <c r="C369" s="21"/>
    </row>
    <row r="370" spans="1:3" ht="12.75" x14ac:dyDescent="0.2">
      <c r="A370" s="13"/>
      <c r="B370" s="13"/>
      <c r="C370" s="21"/>
    </row>
    <row r="371" spans="1:3" ht="12.75" x14ac:dyDescent="0.2">
      <c r="A371" s="13"/>
      <c r="B371" s="13"/>
      <c r="C371" s="21"/>
    </row>
    <row r="372" spans="1:3" ht="12.75" x14ac:dyDescent="0.2">
      <c r="A372" s="13"/>
      <c r="B372" s="13"/>
      <c r="C372" s="21"/>
    </row>
    <row r="373" spans="1:3" ht="12.75" x14ac:dyDescent="0.2">
      <c r="A373" s="13"/>
      <c r="B373" s="13"/>
      <c r="C373" s="21"/>
    </row>
    <row r="374" spans="1:3" ht="12.75" x14ac:dyDescent="0.2">
      <c r="A374" s="13"/>
      <c r="B374" s="13"/>
      <c r="C374" s="21"/>
    </row>
    <row r="375" spans="1:3" ht="12.75" x14ac:dyDescent="0.2">
      <c r="A375" s="13"/>
      <c r="B375" s="13"/>
      <c r="C375" s="21"/>
    </row>
    <row r="376" spans="1:3" ht="12.75" x14ac:dyDescent="0.2">
      <c r="A376" s="13"/>
      <c r="B376" s="13"/>
      <c r="C376" s="21"/>
    </row>
    <row r="377" spans="1:3" ht="12.75" x14ac:dyDescent="0.2">
      <c r="A377" s="13"/>
      <c r="B377" s="13"/>
      <c r="C377" s="21"/>
    </row>
    <row r="378" spans="1:3" ht="12.75" x14ac:dyDescent="0.2">
      <c r="A378" s="13"/>
      <c r="B378" s="13"/>
      <c r="C378" s="21"/>
    </row>
    <row r="379" spans="1:3" ht="12.75" x14ac:dyDescent="0.2">
      <c r="A379" s="13"/>
      <c r="B379" s="13"/>
      <c r="C379" s="21"/>
    </row>
    <row r="380" spans="1:3" ht="12.75" x14ac:dyDescent="0.2">
      <c r="A380" s="13"/>
      <c r="B380" s="13"/>
      <c r="C380" s="21"/>
    </row>
    <row r="381" spans="1:3" ht="12.75" x14ac:dyDescent="0.2">
      <c r="A381" s="13"/>
      <c r="B381" s="13"/>
      <c r="C381" s="21"/>
    </row>
    <row r="382" spans="1:3" ht="12.75" x14ac:dyDescent="0.2">
      <c r="A382" s="13"/>
      <c r="B382" s="13"/>
      <c r="C382" s="21"/>
    </row>
    <row r="383" spans="1:3" ht="12.75" x14ac:dyDescent="0.2">
      <c r="A383" s="13"/>
      <c r="B383" s="13"/>
      <c r="C383" s="21"/>
    </row>
    <row r="384" spans="1:3" ht="12.75" x14ac:dyDescent="0.2">
      <c r="A384" s="13"/>
      <c r="B384" s="13"/>
      <c r="C384" s="21"/>
    </row>
    <row r="385" spans="1:3" ht="12.75" x14ac:dyDescent="0.2">
      <c r="A385" s="13"/>
      <c r="B385" s="13"/>
      <c r="C385" s="21"/>
    </row>
    <row r="386" spans="1:3" ht="12.75" x14ac:dyDescent="0.2">
      <c r="A386" s="13"/>
      <c r="B386" s="13"/>
      <c r="C386" s="21"/>
    </row>
    <row r="387" spans="1:3" ht="12.75" x14ac:dyDescent="0.2">
      <c r="A387" s="13"/>
      <c r="B387" s="13"/>
      <c r="C387" s="21"/>
    </row>
    <row r="388" spans="1:3" ht="12.75" x14ac:dyDescent="0.2">
      <c r="A388" s="13"/>
      <c r="B388" s="13"/>
      <c r="C388" s="21"/>
    </row>
    <row r="389" spans="1:3" ht="12.75" x14ac:dyDescent="0.2">
      <c r="A389" s="13"/>
      <c r="B389" s="13"/>
      <c r="C389" s="21"/>
    </row>
    <row r="390" spans="1:3" ht="12.75" x14ac:dyDescent="0.2">
      <c r="A390" s="13"/>
      <c r="B390" s="13"/>
      <c r="C390" s="21"/>
    </row>
    <row r="391" spans="1:3" ht="12.75" x14ac:dyDescent="0.2">
      <c r="A391" s="13"/>
      <c r="B391" s="13"/>
      <c r="C391" s="21"/>
    </row>
    <row r="392" spans="1:3" ht="12.75" x14ac:dyDescent="0.2">
      <c r="A392" s="13"/>
      <c r="B392" s="13"/>
      <c r="C392" s="21"/>
    </row>
    <row r="393" spans="1:3" ht="12.75" x14ac:dyDescent="0.2">
      <c r="A393" s="13"/>
      <c r="B393" s="13"/>
      <c r="C393" s="21"/>
    </row>
    <row r="394" spans="1:3" ht="12.75" x14ac:dyDescent="0.2">
      <c r="A394" s="13"/>
      <c r="B394" s="13"/>
      <c r="C394" s="21"/>
    </row>
    <row r="395" spans="1:3" ht="12.75" x14ac:dyDescent="0.2">
      <c r="A395" s="13"/>
      <c r="B395" s="13"/>
      <c r="C395" s="21"/>
    </row>
    <row r="396" spans="1:3" ht="12.75" x14ac:dyDescent="0.2">
      <c r="A396" s="13"/>
      <c r="B396" s="13"/>
      <c r="C396" s="21"/>
    </row>
    <row r="397" spans="1:3" ht="12.75" x14ac:dyDescent="0.2">
      <c r="A397" s="13"/>
      <c r="B397" s="13"/>
      <c r="C397" s="21"/>
    </row>
    <row r="398" spans="1:3" ht="12.75" x14ac:dyDescent="0.2">
      <c r="A398" s="13"/>
      <c r="B398" s="13"/>
      <c r="C398" s="21"/>
    </row>
    <row r="399" spans="1:3" ht="12.75" x14ac:dyDescent="0.2">
      <c r="A399" s="13"/>
      <c r="B399" s="13"/>
      <c r="C399" s="21"/>
    </row>
    <row r="400" spans="1:3" ht="12.75" x14ac:dyDescent="0.2">
      <c r="A400" s="13"/>
      <c r="B400" s="13"/>
      <c r="C400" s="21"/>
    </row>
    <row r="401" spans="1:3" ht="12.75" x14ac:dyDescent="0.2">
      <c r="A401" s="13"/>
      <c r="B401" s="13"/>
      <c r="C401" s="21"/>
    </row>
    <row r="402" spans="1:3" ht="12.75" x14ac:dyDescent="0.2">
      <c r="A402" s="13"/>
      <c r="B402" s="13"/>
      <c r="C402" s="21"/>
    </row>
    <row r="403" spans="1:3" ht="12.75" x14ac:dyDescent="0.2">
      <c r="A403" s="13"/>
      <c r="B403" s="13"/>
      <c r="C403" s="21"/>
    </row>
    <row r="404" spans="1:3" ht="12.75" x14ac:dyDescent="0.2">
      <c r="A404" s="13"/>
      <c r="B404" s="13"/>
      <c r="C404" s="21"/>
    </row>
    <row r="405" spans="1:3" ht="12.75" x14ac:dyDescent="0.2">
      <c r="A405" s="13"/>
      <c r="B405" s="13"/>
      <c r="C405" s="21"/>
    </row>
    <row r="406" spans="1:3" ht="12.75" x14ac:dyDescent="0.2">
      <c r="A406" s="13"/>
      <c r="B406" s="13"/>
      <c r="C406" s="21"/>
    </row>
    <row r="407" spans="1:3" ht="12.75" x14ac:dyDescent="0.2">
      <c r="A407" s="13"/>
      <c r="B407" s="13"/>
      <c r="C407" s="21"/>
    </row>
    <row r="408" spans="1:3" ht="12.75" x14ac:dyDescent="0.2">
      <c r="A408" s="13"/>
      <c r="B408" s="13"/>
      <c r="C408" s="21"/>
    </row>
    <row r="409" spans="1:3" ht="12.75" x14ac:dyDescent="0.2">
      <c r="A409" s="13"/>
      <c r="B409" s="13"/>
      <c r="C409" s="21"/>
    </row>
    <row r="410" spans="1:3" ht="12.75" x14ac:dyDescent="0.2">
      <c r="A410" s="13"/>
      <c r="B410" s="13"/>
      <c r="C410" s="21"/>
    </row>
    <row r="411" spans="1:3" ht="12.75" x14ac:dyDescent="0.2">
      <c r="A411" s="13"/>
      <c r="B411" s="13"/>
      <c r="C411" s="21"/>
    </row>
    <row r="412" spans="1:3" ht="12.75" x14ac:dyDescent="0.2">
      <c r="A412" s="13"/>
      <c r="B412" s="13"/>
      <c r="C412" s="21"/>
    </row>
    <row r="413" spans="1:3" ht="12.75" x14ac:dyDescent="0.2">
      <c r="A413" s="13"/>
      <c r="B413" s="13"/>
      <c r="C413" s="21"/>
    </row>
    <row r="414" spans="1:3" ht="12.75" x14ac:dyDescent="0.2">
      <c r="A414" s="13"/>
      <c r="B414" s="13"/>
      <c r="C414" s="21"/>
    </row>
    <row r="415" spans="1:3" ht="12.75" x14ac:dyDescent="0.2">
      <c r="A415" s="13"/>
      <c r="B415" s="13"/>
      <c r="C415" s="21"/>
    </row>
    <row r="416" spans="1:3" ht="12.75" x14ac:dyDescent="0.2">
      <c r="A416" s="13"/>
      <c r="B416" s="13"/>
      <c r="C416" s="21"/>
    </row>
    <row r="417" spans="1:3" ht="12.75" x14ac:dyDescent="0.2">
      <c r="A417" s="13"/>
      <c r="B417" s="13"/>
      <c r="C417" s="21"/>
    </row>
    <row r="418" spans="1:3" ht="12.75" x14ac:dyDescent="0.2">
      <c r="A418" s="13"/>
      <c r="B418" s="13"/>
      <c r="C418" s="21"/>
    </row>
    <row r="419" spans="1:3" ht="12.75" x14ac:dyDescent="0.2">
      <c r="A419" s="13"/>
      <c r="B419" s="13"/>
      <c r="C419" s="21"/>
    </row>
    <row r="420" spans="1:3" ht="12.75" x14ac:dyDescent="0.2">
      <c r="A420" s="13"/>
      <c r="B420" s="13"/>
      <c r="C420" s="21"/>
    </row>
    <row r="421" spans="1:3" ht="12.75" x14ac:dyDescent="0.2">
      <c r="A421" s="13"/>
      <c r="B421" s="13"/>
      <c r="C421" s="21"/>
    </row>
    <row r="422" spans="1:3" ht="12.75" x14ac:dyDescent="0.2">
      <c r="A422" s="13"/>
      <c r="B422" s="13"/>
      <c r="C422" s="21"/>
    </row>
    <row r="423" spans="1:3" ht="12.75" x14ac:dyDescent="0.2">
      <c r="A423" s="13"/>
      <c r="B423" s="13"/>
      <c r="C423" s="21"/>
    </row>
    <row r="424" spans="1:3" ht="12.75" x14ac:dyDescent="0.2">
      <c r="A424" s="13"/>
      <c r="B424" s="13"/>
      <c r="C424" s="21"/>
    </row>
    <row r="425" spans="1:3" ht="12.75" x14ac:dyDescent="0.2">
      <c r="A425" s="13"/>
      <c r="B425" s="13"/>
      <c r="C425" s="21"/>
    </row>
    <row r="426" spans="1:3" ht="12.75" x14ac:dyDescent="0.2">
      <c r="A426" s="13"/>
      <c r="B426" s="13"/>
      <c r="C426" s="21"/>
    </row>
    <row r="427" spans="1:3" ht="12.75" x14ac:dyDescent="0.2">
      <c r="A427" s="13"/>
      <c r="B427" s="13"/>
      <c r="C427" s="21"/>
    </row>
    <row r="428" spans="1:3" ht="12.75" x14ac:dyDescent="0.2">
      <c r="A428" s="13"/>
      <c r="B428" s="13"/>
      <c r="C428" s="21"/>
    </row>
    <row r="429" spans="1:3" ht="12.75" x14ac:dyDescent="0.2">
      <c r="A429" s="13"/>
      <c r="B429" s="13"/>
      <c r="C429" s="21"/>
    </row>
    <row r="430" spans="1:3" ht="12.75" x14ac:dyDescent="0.2">
      <c r="A430" s="13"/>
      <c r="B430" s="13"/>
      <c r="C430" s="21"/>
    </row>
    <row r="431" spans="1:3" ht="12.75" x14ac:dyDescent="0.2">
      <c r="A431" s="13"/>
      <c r="B431" s="13"/>
      <c r="C431" s="21"/>
    </row>
    <row r="432" spans="1:3" ht="12.75" x14ac:dyDescent="0.2">
      <c r="A432" s="13"/>
      <c r="B432" s="13"/>
      <c r="C432" s="21"/>
    </row>
    <row r="433" spans="1:3" ht="12.75" x14ac:dyDescent="0.2">
      <c r="A433" s="13"/>
      <c r="B433" s="13"/>
      <c r="C433" s="21"/>
    </row>
    <row r="434" spans="1:3" ht="12.75" x14ac:dyDescent="0.2">
      <c r="A434" s="13"/>
      <c r="B434" s="13"/>
      <c r="C434" s="21"/>
    </row>
    <row r="435" spans="1:3" ht="12.75" x14ac:dyDescent="0.2">
      <c r="A435" s="13"/>
      <c r="B435" s="13"/>
      <c r="C435" s="21"/>
    </row>
    <row r="436" spans="1:3" ht="12.75" x14ac:dyDescent="0.2">
      <c r="A436" s="13"/>
      <c r="B436" s="13"/>
      <c r="C436" s="21"/>
    </row>
    <row r="437" spans="1:3" ht="12.75" x14ac:dyDescent="0.2">
      <c r="A437" s="13"/>
      <c r="B437" s="13"/>
      <c r="C437" s="21"/>
    </row>
    <row r="438" spans="1:3" ht="12.75" x14ac:dyDescent="0.2">
      <c r="A438" s="13"/>
      <c r="B438" s="13"/>
      <c r="C438" s="21"/>
    </row>
    <row r="439" spans="1:3" ht="12.75" x14ac:dyDescent="0.2">
      <c r="A439" s="13"/>
      <c r="B439" s="13"/>
      <c r="C439" s="21"/>
    </row>
    <row r="440" spans="1:3" ht="12.75" x14ac:dyDescent="0.2">
      <c r="A440" s="13"/>
      <c r="B440" s="13"/>
      <c r="C440" s="21"/>
    </row>
    <row r="441" spans="1:3" ht="12.75" x14ac:dyDescent="0.2">
      <c r="A441" s="13"/>
      <c r="B441" s="13"/>
      <c r="C441" s="21"/>
    </row>
    <row r="442" spans="1:3" ht="12.75" x14ac:dyDescent="0.2">
      <c r="A442" s="13"/>
      <c r="B442" s="13"/>
      <c r="C442" s="21"/>
    </row>
    <row r="443" spans="1:3" ht="12.75" x14ac:dyDescent="0.2">
      <c r="A443" s="13"/>
      <c r="B443" s="13"/>
      <c r="C443" s="21"/>
    </row>
    <row r="444" spans="1:3" ht="12.75" x14ac:dyDescent="0.2">
      <c r="A444" s="13"/>
      <c r="B444" s="13"/>
      <c r="C444" s="21"/>
    </row>
    <row r="445" spans="1:3" ht="12.75" x14ac:dyDescent="0.2">
      <c r="A445" s="13"/>
      <c r="B445" s="13"/>
      <c r="C445" s="21"/>
    </row>
    <row r="446" spans="1:3" ht="12.75" x14ac:dyDescent="0.2">
      <c r="A446" s="13"/>
      <c r="B446" s="13"/>
      <c r="C446" s="21"/>
    </row>
    <row r="447" spans="1:3" ht="12.75" x14ac:dyDescent="0.2">
      <c r="A447" s="13"/>
      <c r="B447" s="13"/>
      <c r="C447" s="21"/>
    </row>
    <row r="448" spans="1:3" ht="12.75" x14ac:dyDescent="0.2">
      <c r="A448" s="13"/>
      <c r="B448" s="13"/>
      <c r="C448" s="21"/>
    </row>
    <row r="449" spans="1:3" ht="12.75" x14ac:dyDescent="0.2">
      <c r="A449" s="13"/>
      <c r="B449" s="13"/>
      <c r="C449" s="21"/>
    </row>
    <row r="450" spans="1:3" ht="12.75" x14ac:dyDescent="0.2">
      <c r="A450" s="13"/>
      <c r="B450" s="13"/>
      <c r="C450" s="21"/>
    </row>
    <row r="451" spans="1:3" ht="12.75" x14ac:dyDescent="0.2">
      <c r="A451" s="13"/>
      <c r="B451" s="13"/>
      <c r="C451" s="21"/>
    </row>
    <row r="452" spans="1:3" ht="12.75" x14ac:dyDescent="0.2">
      <c r="A452" s="13"/>
      <c r="B452" s="13"/>
      <c r="C452" s="21"/>
    </row>
    <row r="453" spans="1:3" ht="12.75" x14ac:dyDescent="0.2">
      <c r="A453" s="13"/>
      <c r="B453" s="13"/>
      <c r="C453" s="21"/>
    </row>
    <row r="454" spans="1:3" ht="12.75" x14ac:dyDescent="0.2">
      <c r="A454" s="13"/>
      <c r="B454" s="13"/>
      <c r="C454" s="21"/>
    </row>
    <row r="455" spans="1:3" ht="12.75" x14ac:dyDescent="0.2">
      <c r="A455" s="13"/>
      <c r="B455" s="13"/>
      <c r="C455" s="21"/>
    </row>
    <row r="456" spans="1:3" ht="12.75" x14ac:dyDescent="0.2">
      <c r="A456" s="13"/>
      <c r="B456" s="13"/>
      <c r="C456" s="21"/>
    </row>
    <row r="457" spans="1:3" ht="12.75" x14ac:dyDescent="0.2">
      <c r="A457" s="13"/>
      <c r="B457" s="13"/>
      <c r="C457" s="21"/>
    </row>
    <row r="458" spans="1:3" ht="12.75" x14ac:dyDescent="0.2">
      <c r="A458" s="13"/>
      <c r="B458" s="13"/>
      <c r="C458" s="21"/>
    </row>
    <row r="459" spans="1:3" ht="12.75" x14ac:dyDescent="0.2">
      <c r="A459" s="13"/>
      <c r="B459" s="13"/>
      <c r="C459" s="21"/>
    </row>
    <row r="460" spans="1:3" ht="12.75" x14ac:dyDescent="0.2">
      <c r="A460" s="13"/>
      <c r="B460" s="13"/>
      <c r="C460" s="21"/>
    </row>
    <row r="461" spans="1:3" ht="12.75" x14ac:dyDescent="0.2">
      <c r="A461" s="13"/>
      <c r="B461" s="13"/>
      <c r="C461" s="21"/>
    </row>
    <row r="462" spans="1:3" ht="12.75" x14ac:dyDescent="0.2">
      <c r="A462" s="13"/>
      <c r="B462" s="13"/>
      <c r="C462" s="21"/>
    </row>
    <row r="463" spans="1:3" ht="12.75" x14ac:dyDescent="0.2">
      <c r="A463" s="13"/>
      <c r="B463" s="13"/>
      <c r="C463" s="21"/>
    </row>
    <row r="464" spans="1:3" ht="12.75" x14ac:dyDescent="0.2">
      <c r="A464" s="13"/>
      <c r="B464" s="13"/>
      <c r="C464" s="21"/>
    </row>
    <row r="465" spans="1:3" ht="12.75" x14ac:dyDescent="0.2">
      <c r="A465" s="13"/>
      <c r="B465" s="13"/>
      <c r="C465" s="21"/>
    </row>
    <row r="466" spans="1:3" ht="12.75" x14ac:dyDescent="0.2">
      <c r="A466" s="13"/>
      <c r="B466" s="13"/>
      <c r="C466" s="21"/>
    </row>
    <row r="467" spans="1:3" ht="12.75" x14ac:dyDescent="0.2">
      <c r="A467" s="13"/>
      <c r="B467" s="13"/>
      <c r="C467" s="21"/>
    </row>
    <row r="468" spans="1:3" ht="12.75" x14ac:dyDescent="0.2">
      <c r="A468" s="13"/>
      <c r="B468" s="13"/>
      <c r="C468" s="21"/>
    </row>
    <row r="469" spans="1:3" ht="12.75" x14ac:dyDescent="0.2">
      <c r="A469" s="13"/>
      <c r="B469" s="13"/>
      <c r="C469" s="21"/>
    </row>
    <row r="470" spans="1:3" ht="12.75" x14ac:dyDescent="0.2">
      <c r="A470" s="13"/>
      <c r="B470" s="13"/>
      <c r="C470" s="21"/>
    </row>
    <row r="471" spans="1:3" ht="12.75" x14ac:dyDescent="0.2">
      <c r="A471" s="13"/>
      <c r="B471" s="13"/>
      <c r="C471" s="21"/>
    </row>
    <row r="472" spans="1:3" ht="12.75" x14ac:dyDescent="0.2">
      <c r="A472" s="13"/>
      <c r="B472" s="13"/>
      <c r="C472" s="21"/>
    </row>
    <row r="473" spans="1:3" ht="12.75" x14ac:dyDescent="0.2">
      <c r="A473" s="13"/>
      <c r="B473" s="13"/>
      <c r="C473" s="21"/>
    </row>
    <row r="474" spans="1:3" ht="12.75" x14ac:dyDescent="0.2">
      <c r="A474" s="13"/>
      <c r="B474" s="13"/>
      <c r="C474" s="21"/>
    </row>
    <row r="475" spans="1:3" ht="12.75" x14ac:dyDescent="0.2">
      <c r="A475" s="13"/>
      <c r="B475" s="13"/>
      <c r="C475" s="21"/>
    </row>
    <row r="476" spans="1:3" ht="12.75" x14ac:dyDescent="0.2">
      <c r="A476" s="13"/>
      <c r="B476" s="13"/>
      <c r="C476" s="21"/>
    </row>
    <row r="477" spans="1:3" ht="12.75" x14ac:dyDescent="0.2">
      <c r="A477" s="13"/>
      <c r="B477" s="13"/>
      <c r="C477" s="21"/>
    </row>
    <row r="478" spans="1:3" ht="12.75" x14ac:dyDescent="0.2">
      <c r="A478" s="13"/>
      <c r="B478" s="13"/>
      <c r="C478" s="21"/>
    </row>
    <row r="479" spans="1:3" ht="12.75" x14ac:dyDescent="0.2">
      <c r="A479" s="13"/>
      <c r="B479" s="13"/>
      <c r="C479" s="21"/>
    </row>
    <row r="480" spans="1:3" ht="12.75" x14ac:dyDescent="0.2">
      <c r="A480" s="13"/>
      <c r="B480" s="13"/>
      <c r="C480" s="21"/>
    </row>
    <row r="481" spans="1:3" ht="12.75" x14ac:dyDescent="0.2">
      <c r="A481" s="13"/>
      <c r="B481" s="13"/>
      <c r="C481" s="21"/>
    </row>
    <row r="482" spans="1:3" ht="12.75" x14ac:dyDescent="0.2">
      <c r="A482" s="13"/>
      <c r="B482" s="13"/>
      <c r="C482" s="21"/>
    </row>
    <row r="483" spans="1:3" ht="12.75" x14ac:dyDescent="0.2">
      <c r="A483" s="13"/>
      <c r="B483" s="13"/>
      <c r="C483" s="21"/>
    </row>
    <row r="484" spans="1:3" ht="12.75" x14ac:dyDescent="0.2">
      <c r="A484" s="13"/>
      <c r="B484" s="13"/>
      <c r="C484" s="21"/>
    </row>
    <row r="485" spans="1:3" ht="12.75" x14ac:dyDescent="0.2">
      <c r="A485" s="13"/>
      <c r="B485" s="13"/>
      <c r="C485" s="21"/>
    </row>
    <row r="486" spans="1:3" ht="12.75" x14ac:dyDescent="0.2">
      <c r="A486" s="13"/>
      <c r="B486" s="13"/>
      <c r="C486" s="21"/>
    </row>
    <row r="487" spans="1:3" ht="12.75" x14ac:dyDescent="0.2">
      <c r="A487" s="13"/>
      <c r="B487" s="13"/>
      <c r="C487" s="21"/>
    </row>
    <row r="488" spans="1:3" ht="12.75" x14ac:dyDescent="0.2">
      <c r="A488" s="13"/>
      <c r="B488" s="13"/>
      <c r="C488" s="21"/>
    </row>
    <row r="489" spans="1:3" ht="12.75" x14ac:dyDescent="0.2">
      <c r="A489" s="13"/>
      <c r="B489" s="13"/>
      <c r="C489" s="21"/>
    </row>
    <row r="490" spans="1:3" ht="12.75" x14ac:dyDescent="0.2">
      <c r="A490" s="13"/>
      <c r="B490" s="13"/>
      <c r="C490" s="21"/>
    </row>
    <row r="491" spans="1:3" ht="12.75" x14ac:dyDescent="0.2">
      <c r="A491" s="13"/>
      <c r="B491" s="13"/>
      <c r="C491" s="21"/>
    </row>
    <row r="492" spans="1:3" ht="12.75" x14ac:dyDescent="0.2">
      <c r="A492" s="13"/>
      <c r="B492" s="13"/>
      <c r="C492" s="21"/>
    </row>
    <row r="493" spans="1:3" ht="12.75" x14ac:dyDescent="0.2">
      <c r="A493" s="13"/>
      <c r="B493" s="13"/>
      <c r="C493" s="21"/>
    </row>
    <row r="494" spans="1:3" ht="12.75" x14ac:dyDescent="0.2">
      <c r="A494" s="13"/>
      <c r="B494" s="13"/>
      <c r="C494" s="21"/>
    </row>
    <row r="495" spans="1:3" ht="12.75" x14ac:dyDescent="0.2">
      <c r="A495" s="13"/>
      <c r="B495" s="13"/>
      <c r="C495" s="21"/>
    </row>
    <row r="496" spans="1:3" ht="12.75" x14ac:dyDescent="0.2">
      <c r="A496" s="13"/>
      <c r="B496" s="13"/>
      <c r="C496" s="21"/>
    </row>
    <row r="497" spans="1:3" ht="12.75" x14ac:dyDescent="0.2">
      <c r="A497" s="13"/>
      <c r="B497" s="13"/>
      <c r="C497" s="21"/>
    </row>
    <row r="498" spans="1:3" ht="12.75" x14ac:dyDescent="0.2">
      <c r="A498" s="13"/>
      <c r="B498" s="13"/>
      <c r="C498" s="21"/>
    </row>
    <row r="499" spans="1:3" ht="12.75" x14ac:dyDescent="0.2">
      <c r="A499" s="13"/>
      <c r="B499" s="13"/>
      <c r="C499" s="21"/>
    </row>
    <row r="500" spans="1:3" ht="12.75" x14ac:dyDescent="0.2">
      <c r="A500" s="13"/>
      <c r="B500" s="13"/>
      <c r="C500" s="21"/>
    </row>
    <row r="501" spans="1:3" ht="12.75" x14ac:dyDescent="0.2">
      <c r="A501" s="13"/>
      <c r="B501" s="13"/>
      <c r="C501" s="21"/>
    </row>
    <row r="502" spans="1:3" ht="12.75" x14ac:dyDescent="0.2">
      <c r="A502" s="13"/>
      <c r="B502" s="13"/>
      <c r="C502" s="21"/>
    </row>
    <row r="503" spans="1:3" ht="12.75" x14ac:dyDescent="0.2">
      <c r="A503" s="13"/>
      <c r="B503" s="13"/>
      <c r="C503" s="21"/>
    </row>
    <row r="504" spans="1:3" ht="12.75" x14ac:dyDescent="0.2">
      <c r="A504" s="13"/>
      <c r="B504" s="13"/>
      <c r="C504" s="21"/>
    </row>
    <row r="505" spans="1:3" ht="12.75" x14ac:dyDescent="0.2">
      <c r="A505" s="13"/>
      <c r="B505" s="13"/>
      <c r="C505" s="21"/>
    </row>
    <row r="506" spans="1:3" ht="12.75" x14ac:dyDescent="0.2">
      <c r="A506" s="13"/>
      <c r="B506" s="13"/>
      <c r="C506" s="21"/>
    </row>
    <row r="507" spans="1:3" ht="12.75" x14ac:dyDescent="0.2">
      <c r="A507" s="13"/>
      <c r="B507" s="13"/>
      <c r="C507" s="21"/>
    </row>
    <row r="508" spans="1:3" ht="12.75" x14ac:dyDescent="0.2">
      <c r="A508" s="13"/>
      <c r="B508" s="13"/>
      <c r="C508" s="21"/>
    </row>
    <row r="509" spans="1:3" ht="12.75" x14ac:dyDescent="0.2">
      <c r="A509" s="13"/>
      <c r="B509" s="13"/>
      <c r="C509" s="21"/>
    </row>
    <row r="510" spans="1:3" ht="12.75" x14ac:dyDescent="0.2">
      <c r="A510" s="13"/>
      <c r="B510" s="13"/>
      <c r="C510" s="21"/>
    </row>
    <row r="511" spans="1:3" ht="12.75" x14ac:dyDescent="0.2">
      <c r="A511" s="13"/>
      <c r="B511" s="13"/>
      <c r="C511" s="21"/>
    </row>
    <row r="512" spans="1:3" ht="12.75" x14ac:dyDescent="0.2">
      <c r="A512" s="13"/>
      <c r="B512" s="13"/>
      <c r="C512" s="21"/>
    </row>
    <row r="513" spans="1:3" ht="12.75" x14ac:dyDescent="0.2">
      <c r="A513" s="13"/>
      <c r="B513" s="13"/>
      <c r="C513" s="21"/>
    </row>
    <row r="514" spans="1:3" ht="12.75" x14ac:dyDescent="0.2">
      <c r="A514" s="13"/>
      <c r="B514" s="13"/>
      <c r="C514" s="21"/>
    </row>
    <row r="515" spans="1:3" ht="12.75" x14ac:dyDescent="0.2">
      <c r="A515" s="13"/>
      <c r="B515" s="13"/>
      <c r="C515" s="21"/>
    </row>
    <row r="516" spans="1:3" ht="12.75" x14ac:dyDescent="0.2">
      <c r="A516" s="13"/>
      <c r="B516" s="13"/>
      <c r="C516" s="21"/>
    </row>
    <row r="517" spans="1:3" ht="12.75" x14ac:dyDescent="0.2">
      <c r="A517" s="13"/>
      <c r="B517" s="13"/>
      <c r="C517" s="21"/>
    </row>
    <row r="518" spans="1:3" ht="12.75" x14ac:dyDescent="0.2">
      <c r="A518" s="13"/>
      <c r="B518" s="13"/>
      <c r="C518" s="21"/>
    </row>
    <row r="519" spans="1:3" ht="12.75" x14ac:dyDescent="0.2">
      <c r="A519" s="13"/>
      <c r="B519" s="13"/>
      <c r="C519" s="21"/>
    </row>
    <row r="520" spans="1:3" ht="12.75" x14ac:dyDescent="0.2">
      <c r="A520" s="13"/>
      <c r="B520" s="13"/>
      <c r="C520" s="21"/>
    </row>
    <row r="521" spans="1:3" ht="12.75" x14ac:dyDescent="0.2">
      <c r="A521" s="13"/>
      <c r="B521" s="13"/>
      <c r="C521" s="21"/>
    </row>
    <row r="522" spans="1:3" ht="12.75" x14ac:dyDescent="0.2">
      <c r="A522" s="13"/>
      <c r="B522" s="13"/>
      <c r="C522" s="21"/>
    </row>
    <row r="523" spans="1:3" ht="12.75" x14ac:dyDescent="0.2">
      <c r="A523" s="13"/>
      <c r="B523" s="13"/>
      <c r="C523" s="21"/>
    </row>
    <row r="524" spans="1:3" ht="12.75" x14ac:dyDescent="0.2">
      <c r="A524" s="13"/>
      <c r="B524" s="13"/>
      <c r="C524" s="21"/>
    </row>
    <row r="525" spans="1:3" ht="12.75" x14ac:dyDescent="0.2">
      <c r="A525" s="13"/>
      <c r="B525" s="13"/>
      <c r="C525" s="21"/>
    </row>
    <row r="526" spans="1:3" ht="12.75" x14ac:dyDescent="0.2">
      <c r="A526" s="13"/>
      <c r="B526" s="13"/>
      <c r="C526" s="21"/>
    </row>
    <row r="527" spans="1:3" ht="12.75" x14ac:dyDescent="0.2">
      <c r="A527" s="13"/>
      <c r="B527" s="13"/>
      <c r="C527" s="21"/>
    </row>
    <row r="528" spans="1:3" ht="12.75" x14ac:dyDescent="0.2">
      <c r="A528" s="13"/>
      <c r="B528" s="13"/>
      <c r="C528" s="21"/>
    </row>
    <row r="529" spans="1:3" ht="12.75" x14ac:dyDescent="0.2">
      <c r="A529" s="13"/>
      <c r="B529" s="13"/>
      <c r="C529" s="21"/>
    </row>
    <row r="530" spans="1:3" ht="12.75" x14ac:dyDescent="0.2">
      <c r="A530" s="13"/>
      <c r="B530" s="13"/>
      <c r="C530" s="21"/>
    </row>
    <row r="531" spans="1:3" ht="12.75" x14ac:dyDescent="0.2">
      <c r="A531" s="13"/>
      <c r="B531" s="13"/>
      <c r="C531" s="21"/>
    </row>
    <row r="532" spans="1:3" ht="12.75" x14ac:dyDescent="0.2">
      <c r="A532" s="13"/>
      <c r="B532" s="13"/>
      <c r="C532" s="21"/>
    </row>
    <row r="533" spans="1:3" ht="12.75" x14ac:dyDescent="0.2">
      <c r="A533" s="13"/>
      <c r="B533" s="13"/>
      <c r="C533" s="21"/>
    </row>
    <row r="534" spans="1:3" ht="12.75" x14ac:dyDescent="0.2">
      <c r="A534" s="13"/>
      <c r="B534" s="13"/>
      <c r="C534" s="21"/>
    </row>
    <row r="535" spans="1:3" ht="12.75" x14ac:dyDescent="0.2">
      <c r="A535" s="13"/>
      <c r="B535" s="13"/>
      <c r="C535" s="21"/>
    </row>
    <row r="536" spans="1:3" ht="12.75" x14ac:dyDescent="0.2">
      <c r="A536" s="13"/>
      <c r="B536" s="13"/>
      <c r="C536" s="21"/>
    </row>
    <row r="537" spans="1:3" ht="12.75" x14ac:dyDescent="0.2">
      <c r="A537" s="13"/>
      <c r="B537" s="13"/>
      <c r="C537" s="21"/>
    </row>
    <row r="538" spans="1:3" ht="12.75" x14ac:dyDescent="0.2">
      <c r="A538" s="13"/>
      <c r="B538" s="13"/>
      <c r="C538" s="21"/>
    </row>
    <row r="539" spans="1:3" ht="12.75" x14ac:dyDescent="0.2">
      <c r="A539" s="13"/>
      <c r="B539" s="13"/>
      <c r="C539" s="21"/>
    </row>
    <row r="540" spans="1:3" ht="12.75" x14ac:dyDescent="0.2">
      <c r="A540" s="13"/>
      <c r="B540" s="13"/>
      <c r="C540" s="21"/>
    </row>
    <row r="541" spans="1:3" ht="12.75" x14ac:dyDescent="0.2">
      <c r="A541" s="13"/>
      <c r="B541" s="13"/>
      <c r="C541" s="21"/>
    </row>
    <row r="542" spans="1:3" ht="12.75" x14ac:dyDescent="0.2">
      <c r="A542" s="13"/>
      <c r="B542" s="13"/>
      <c r="C542" s="21"/>
    </row>
    <row r="543" spans="1:3" ht="12.75" x14ac:dyDescent="0.2">
      <c r="A543" s="13"/>
      <c r="B543" s="13"/>
      <c r="C543" s="21"/>
    </row>
    <row r="544" spans="1:3" ht="12.75" x14ac:dyDescent="0.2">
      <c r="A544" s="13"/>
      <c r="B544" s="13"/>
      <c r="C544" s="21"/>
    </row>
    <row r="545" spans="1:3" ht="12.75" x14ac:dyDescent="0.2">
      <c r="A545" s="13"/>
      <c r="B545" s="13"/>
      <c r="C545" s="21"/>
    </row>
    <row r="546" spans="1:3" ht="12.75" x14ac:dyDescent="0.2">
      <c r="A546" s="13"/>
      <c r="B546" s="13"/>
      <c r="C546" s="21"/>
    </row>
    <row r="547" spans="1:3" ht="12.75" x14ac:dyDescent="0.2">
      <c r="A547" s="13"/>
      <c r="B547" s="13"/>
      <c r="C547" s="21"/>
    </row>
    <row r="548" spans="1:3" ht="12.75" x14ac:dyDescent="0.2">
      <c r="A548" s="13"/>
      <c r="B548" s="13"/>
      <c r="C548" s="21"/>
    </row>
    <row r="549" spans="1:3" ht="12.75" x14ac:dyDescent="0.2">
      <c r="A549" s="13"/>
      <c r="B549" s="13"/>
      <c r="C549" s="21"/>
    </row>
    <row r="550" spans="1:3" ht="12.75" x14ac:dyDescent="0.2">
      <c r="A550" s="13"/>
      <c r="B550" s="13"/>
      <c r="C550" s="21"/>
    </row>
    <row r="551" spans="1:3" ht="12.75" x14ac:dyDescent="0.2">
      <c r="A551" s="13"/>
      <c r="B551" s="13"/>
      <c r="C551" s="21"/>
    </row>
    <row r="552" spans="1:3" ht="12.75" x14ac:dyDescent="0.2">
      <c r="A552" s="13"/>
      <c r="B552" s="13"/>
      <c r="C552" s="21"/>
    </row>
    <row r="553" spans="1:3" ht="12.75" x14ac:dyDescent="0.2">
      <c r="A553" s="13"/>
      <c r="B553" s="13"/>
      <c r="C553" s="21"/>
    </row>
    <row r="554" spans="1:3" ht="12.75" x14ac:dyDescent="0.2">
      <c r="A554" s="13"/>
      <c r="B554" s="13"/>
      <c r="C554" s="21"/>
    </row>
    <row r="555" spans="1:3" ht="12.75" x14ac:dyDescent="0.2">
      <c r="A555" s="13"/>
      <c r="B555" s="13"/>
      <c r="C555" s="21"/>
    </row>
    <row r="556" spans="1:3" ht="12.75" x14ac:dyDescent="0.2">
      <c r="A556" s="13"/>
      <c r="B556" s="13"/>
      <c r="C556" s="21"/>
    </row>
    <row r="557" spans="1:3" ht="12.75" x14ac:dyDescent="0.2">
      <c r="A557" s="13"/>
      <c r="B557" s="13"/>
      <c r="C557" s="21"/>
    </row>
    <row r="558" spans="1:3" ht="12.75" x14ac:dyDescent="0.2">
      <c r="A558" s="13"/>
      <c r="B558" s="13"/>
      <c r="C558" s="21"/>
    </row>
    <row r="559" spans="1:3" ht="12.75" x14ac:dyDescent="0.2">
      <c r="A559" s="13"/>
      <c r="B559" s="13"/>
      <c r="C559" s="21"/>
    </row>
    <row r="560" spans="1:3" ht="12.75" x14ac:dyDescent="0.2">
      <c r="A560" s="13"/>
      <c r="B560" s="13"/>
      <c r="C560" s="21"/>
    </row>
    <row r="561" spans="1:3" ht="12.75" x14ac:dyDescent="0.2">
      <c r="A561" s="13"/>
      <c r="B561" s="13"/>
      <c r="C561" s="21"/>
    </row>
    <row r="562" spans="1:3" ht="12.75" x14ac:dyDescent="0.2">
      <c r="A562" s="13"/>
      <c r="B562" s="13"/>
      <c r="C562" s="21"/>
    </row>
    <row r="563" spans="1:3" ht="12.75" x14ac:dyDescent="0.2">
      <c r="A563" s="13"/>
      <c r="B563" s="13"/>
      <c r="C563" s="21"/>
    </row>
    <row r="564" spans="1:3" ht="12.75" x14ac:dyDescent="0.2">
      <c r="A564" s="13"/>
      <c r="B564" s="13"/>
      <c r="C564" s="21"/>
    </row>
    <row r="565" spans="1:3" ht="12.75" x14ac:dyDescent="0.2">
      <c r="A565" s="13"/>
      <c r="B565" s="13"/>
      <c r="C565" s="21"/>
    </row>
    <row r="566" spans="1:3" ht="12.75" x14ac:dyDescent="0.2">
      <c r="A566" s="13"/>
      <c r="B566" s="13"/>
      <c r="C566" s="21"/>
    </row>
    <row r="567" spans="1:3" ht="12.75" x14ac:dyDescent="0.2">
      <c r="A567" s="13"/>
      <c r="B567" s="13"/>
      <c r="C567" s="21"/>
    </row>
    <row r="568" spans="1:3" ht="12.75" x14ac:dyDescent="0.2">
      <c r="A568" s="13"/>
      <c r="B568" s="13"/>
      <c r="C568" s="21"/>
    </row>
    <row r="569" spans="1:3" ht="12.75" x14ac:dyDescent="0.2">
      <c r="A569" s="13"/>
      <c r="B569" s="13"/>
      <c r="C569" s="21"/>
    </row>
    <row r="570" spans="1:3" ht="12.75" x14ac:dyDescent="0.2">
      <c r="A570" s="13"/>
      <c r="B570" s="13"/>
      <c r="C570" s="21"/>
    </row>
    <row r="571" spans="1:3" ht="12.75" x14ac:dyDescent="0.2">
      <c r="A571" s="13"/>
      <c r="B571" s="13"/>
      <c r="C571" s="21"/>
    </row>
    <row r="572" spans="1:3" ht="12.75" x14ac:dyDescent="0.2">
      <c r="A572" s="13"/>
      <c r="B572" s="13"/>
      <c r="C572" s="21"/>
    </row>
    <row r="573" spans="1:3" ht="12.75" x14ac:dyDescent="0.2">
      <c r="A573" s="13"/>
      <c r="B573" s="13"/>
      <c r="C573" s="21"/>
    </row>
    <row r="574" spans="1:3" ht="12.75" x14ac:dyDescent="0.2">
      <c r="A574" s="13"/>
      <c r="B574" s="13"/>
      <c r="C574" s="21"/>
    </row>
    <row r="575" spans="1:3" ht="12.75" x14ac:dyDescent="0.2">
      <c r="A575" s="13"/>
      <c r="B575" s="13"/>
      <c r="C575" s="21"/>
    </row>
    <row r="576" spans="1:3" ht="12.75" x14ac:dyDescent="0.2">
      <c r="A576" s="13"/>
      <c r="B576" s="13"/>
      <c r="C576" s="21"/>
    </row>
    <row r="577" spans="1:3" ht="12.75" x14ac:dyDescent="0.2">
      <c r="A577" s="13"/>
      <c r="B577" s="13"/>
      <c r="C577" s="21"/>
    </row>
    <row r="578" spans="1:3" ht="12.75" x14ac:dyDescent="0.2">
      <c r="A578" s="13"/>
      <c r="B578" s="13"/>
      <c r="C578" s="21"/>
    </row>
    <row r="579" spans="1:3" ht="12.75" x14ac:dyDescent="0.2">
      <c r="A579" s="13"/>
      <c r="B579" s="13"/>
      <c r="C579" s="21"/>
    </row>
    <row r="580" spans="1:3" ht="12.75" x14ac:dyDescent="0.2">
      <c r="A580" s="13"/>
      <c r="B580" s="13"/>
      <c r="C580" s="21"/>
    </row>
    <row r="581" spans="1:3" ht="12.75" x14ac:dyDescent="0.2">
      <c r="A581" s="13"/>
      <c r="B581" s="13"/>
      <c r="C581" s="21"/>
    </row>
    <row r="582" spans="1:3" ht="12.75" x14ac:dyDescent="0.2">
      <c r="A582" s="13"/>
      <c r="B582" s="13"/>
      <c r="C582" s="21"/>
    </row>
    <row r="583" spans="1:3" ht="12.75" x14ac:dyDescent="0.2">
      <c r="A583" s="13"/>
      <c r="B583" s="13"/>
      <c r="C583" s="21"/>
    </row>
    <row r="584" spans="1:3" ht="12.75" x14ac:dyDescent="0.2">
      <c r="A584" s="13"/>
      <c r="B584" s="13"/>
      <c r="C584" s="21"/>
    </row>
    <row r="585" spans="1:3" ht="12.75" x14ac:dyDescent="0.2">
      <c r="A585" s="13"/>
      <c r="B585" s="13"/>
      <c r="C585" s="21"/>
    </row>
    <row r="586" spans="1:3" ht="12.75" x14ac:dyDescent="0.2">
      <c r="A586" s="13"/>
      <c r="B586" s="13"/>
      <c r="C586" s="21"/>
    </row>
    <row r="587" spans="1:3" ht="12.75" x14ac:dyDescent="0.2">
      <c r="A587" s="13"/>
      <c r="B587" s="13"/>
      <c r="C587" s="21"/>
    </row>
    <row r="588" spans="1:3" ht="12.75" x14ac:dyDescent="0.2">
      <c r="A588" s="13"/>
      <c r="B588" s="13"/>
      <c r="C588" s="21"/>
    </row>
    <row r="589" spans="1:3" ht="12.75" x14ac:dyDescent="0.2">
      <c r="A589" s="13"/>
      <c r="B589" s="13"/>
      <c r="C589" s="21"/>
    </row>
    <row r="590" spans="1:3" ht="12.75" x14ac:dyDescent="0.2">
      <c r="A590" s="13"/>
      <c r="B590" s="13"/>
      <c r="C590" s="21"/>
    </row>
    <row r="591" spans="1:3" ht="12.75" x14ac:dyDescent="0.2">
      <c r="A591" s="13"/>
      <c r="B591" s="13"/>
      <c r="C591" s="21"/>
    </row>
    <row r="592" spans="1:3" ht="12.75" x14ac:dyDescent="0.2">
      <c r="A592" s="13"/>
      <c r="B592" s="13"/>
      <c r="C592" s="21"/>
    </row>
    <row r="593" spans="1:3" ht="12.75" x14ac:dyDescent="0.2">
      <c r="A593" s="13"/>
      <c r="B593" s="13"/>
      <c r="C593" s="21"/>
    </row>
    <row r="594" spans="1:3" ht="12.75" x14ac:dyDescent="0.2">
      <c r="A594" s="13"/>
      <c r="B594" s="13"/>
      <c r="C594" s="21"/>
    </row>
    <row r="595" spans="1:3" ht="12.75" x14ac:dyDescent="0.2">
      <c r="A595" s="13"/>
      <c r="B595" s="13"/>
      <c r="C595" s="21"/>
    </row>
    <row r="596" spans="1:3" ht="12.75" x14ac:dyDescent="0.2">
      <c r="A596" s="13"/>
      <c r="B596" s="13"/>
      <c r="C596" s="21"/>
    </row>
    <row r="597" spans="1:3" ht="12.75" x14ac:dyDescent="0.2">
      <c r="A597" s="13"/>
      <c r="B597" s="13"/>
      <c r="C597" s="21"/>
    </row>
    <row r="598" spans="1:3" ht="12.75" x14ac:dyDescent="0.2">
      <c r="A598" s="13"/>
      <c r="B598" s="13"/>
      <c r="C598" s="21"/>
    </row>
    <row r="599" spans="1:3" ht="12.75" x14ac:dyDescent="0.2">
      <c r="A599" s="13"/>
      <c r="B599" s="13"/>
      <c r="C599" s="21"/>
    </row>
    <row r="600" spans="1:3" ht="12.75" x14ac:dyDescent="0.2">
      <c r="A600" s="13"/>
      <c r="B600" s="13"/>
      <c r="C600" s="21"/>
    </row>
    <row r="601" spans="1:3" ht="12.75" x14ac:dyDescent="0.2">
      <c r="A601" s="13"/>
      <c r="B601" s="13"/>
      <c r="C601" s="21"/>
    </row>
    <row r="602" spans="1:3" ht="12.75" x14ac:dyDescent="0.2">
      <c r="A602" s="13"/>
      <c r="B602" s="13"/>
      <c r="C602" s="21"/>
    </row>
    <row r="603" spans="1:3" ht="12.75" x14ac:dyDescent="0.2">
      <c r="A603" s="13"/>
      <c r="B603" s="13"/>
      <c r="C603" s="21"/>
    </row>
    <row r="604" spans="1:3" ht="12.75" x14ac:dyDescent="0.2">
      <c r="A604" s="13"/>
      <c r="B604" s="13"/>
      <c r="C604" s="21"/>
    </row>
    <row r="605" spans="1:3" ht="12.75" x14ac:dyDescent="0.2">
      <c r="A605" s="13"/>
      <c r="B605" s="13"/>
      <c r="C605" s="21"/>
    </row>
    <row r="606" spans="1:3" ht="12.75" x14ac:dyDescent="0.2">
      <c r="A606" s="13"/>
      <c r="B606" s="13"/>
      <c r="C606" s="21"/>
    </row>
    <row r="607" spans="1:3" ht="12.75" x14ac:dyDescent="0.2">
      <c r="A607" s="13"/>
      <c r="B607" s="13"/>
      <c r="C607" s="21"/>
    </row>
    <row r="608" spans="1:3" ht="12.75" x14ac:dyDescent="0.2">
      <c r="A608" s="13"/>
      <c r="B608" s="13"/>
      <c r="C608" s="21"/>
    </row>
    <row r="609" spans="1:3" ht="12.75" x14ac:dyDescent="0.2">
      <c r="A609" s="13"/>
      <c r="B609" s="13"/>
      <c r="C609" s="21"/>
    </row>
    <row r="610" spans="1:3" ht="12.75" x14ac:dyDescent="0.2">
      <c r="A610" s="13"/>
      <c r="B610" s="13"/>
      <c r="C610" s="21"/>
    </row>
    <row r="611" spans="1:3" ht="12.75" x14ac:dyDescent="0.2">
      <c r="A611" s="13"/>
      <c r="B611" s="13"/>
      <c r="C611" s="21"/>
    </row>
    <row r="612" spans="1:3" ht="12.75" x14ac:dyDescent="0.2">
      <c r="A612" s="13"/>
      <c r="B612" s="13"/>
      <c r="C612" s="21"/>
    </row>
    <row r="613" spans="1:3" ht="12.75" x14ac:dyDescent="0.2">
      <c r="A613" s="13"/>
      <c r="B613" s="13"/>
      <c r="C613" s="21"/>
    </row>
    <row r="614" spans="1:3" ht="12.75" x14ac:dyDescent="0.2">
      <c r="A614" s="13"/>
      <c r="B614" s="13"/>
      <c r="C614" s="21"/>
    </row>
    <row r="615" spans="1:3" ht="12.75" x14ac:dyDescent="0.2">
      <c r="A615" s="13"/>
      <c r="B615" s="13"/>
      <c r="C615" s="21"/>
    </row>
    <row r="616" spans="1:3" ht="12.75" x14ac:dyDescent="0.2">
      <c r="A616" s="13"/>
      <c r="B616" s="13"/>
      <c r="C616" s="21"/>
    </row>
    <row r="617" spans="1:3" ht="12.75" x14ac:dyDescent="0.2">
      <c r="A617" s="13"/>
      <c r="B617" s="13"/>
      <c r="C617" s="21"/>
    </row>
    <row r="618" spans="1:3" ht="12.75" x14ac:dyDescent="0.2">
      <c r="A618" s="13"/>
      <c r="B618" s="13"/>
      <c r="C618" s="21"/>
    </row>
    <row r="619" spans="1:3" ht="12.75" x14ac:dyDescent="0.2">
      <c r="A619" s="13"/>
      <c r="B619" s="13"/>
      <c r="C619" s="21"/>
    </row>
    <row r="620" spans="1:3" ht="12.75" x14ac:dyDescent="0.2">
      <c r="A620" s="13"/>
      <c r="B620" s="13"/>
      <c r="C620" s="21"/>
    </row>
    <row r="621" spans="1:3" ht="12.75" x14ac:dyDescent="0.2">
      <c r="A621" s="13"/>
      <c r="B621" s="13"/>
      <c r="C621" s="21"/>
    </row>
    <row r="622" spans="1:3" ht="12.75" x14ac:dyDescent="0.2">
      <c r="A622" s="13"/>
      <c r="B622" s="13"/>
      <c r="C622" s="21"/>
    </row>
    <row r="623" spans="1:3" ht="12.75" x14ac:dyDescent="0.2">
      <c r="A623" s="13"/>
      <c r="B623" s="13"/>
      <c r="C623" s="21"/>
    </row>
    <row r="624" spans="1:3" ht="12.75" x14ac:dyDescent="0.2">
      <c r="A624" s="13"/>
      <c r="B624" s="13"/>
      <c r="C624" s="21"/>
    </row>
    <row r="625" spans="1:3" ht="12.75" x14ac:dyDescent="0.2">
      <c r="A625" s="13"/>
      <c r="B625" s="13"/>
      <c r="C625" s="21"/>
    </row>
    <row r="626" spans="1:3" ht="12.75" x14ac:dyDescent="0.2">
      <c r="A626" s="13"/>
      <c r="B626" s="13"/>
      <c r="C626" s="21"/>
    </row>
    <row r="627" spans="1:3" ht="12.75" x14ac:dyDescent="0.2">
      <c r="A627" s="13"/>
      <c r="B627" s="13"/>
      <c r="C627" s="21"/>
    </row>
    <row r="628" spans="1:3" ht="12.75" x14ac:dyDescent="0.2">
      <c r="A628" s="13"/>
      <c r="B628" s="13"/>
      <c r="C628" s="21"/>
    </row>
    <row r="629" spans="1:3" ht="12.75" x14ac:dyDescent="0.2">
      <c r="A629" s="13"/>
      <c r="B629" s="13"/>
      <c r="C629" s="21"/>
    </row>
    <row r="630" spans="1:3" ht="12.75" x14ac:dyDescent="0.2">
      <c r="A630" s="13"/>
      <c r="B630" s="13"/>
      <c r="C630" s="21"/>
    </row>
    <row r="631" spans="1:3" ht="12.75" x14ac:dyDescent="0.2">
      <c r="A631" s="13"/>
      <c r="B631" s="13"/>
      <c r="C631" s="21"/>
    </row>
    <row r="632" spans="1:3" ht="12.75" x14ac:dyDescent="0.2">
      <c r="A632" s="13"/>
      <c r="B632" s="13"/>
      <c r="C632" s="21"/>
    </row>
    <row r="633" spans="1:3" ht="12.75" x14ac:dyDescent="0.2">
      <c r="A633" s="13"/>
      <c r="B633" s="13"/>
      <c r="C633" s="21"/>
    </row>
    <row r="634" spans="1:3" ht="12.75" x14ac:dyDescent="0.2">
      <c r="A634" s="13"/>
      <c r="B634" s="13"/>
      <c r="C634" s="21"/>
    </row>
    <row r="635" spans="1:3" ht="12.75" x14ac:dyDescent="0.2">
      <c r="A635" s="13"/>
      <c r="B635" s="13"/>
      <c r="C635" s="21"/>
    </row>
    <row r="636" spans="1:3" ht="12.75" x14ac:dyDescent="0.2">
      <c r="A636" s="13"/>
      <c r="B636" s="13"/>
      <c r="C636" s="21"/>
    </row>
    <row r="637" spans="1:3" ht="12.75" x14ac:dyDescent="0.2">
      <c r="A637" s="13"/>
      <c r="B637" s="13"/>
      <c r="C637" s="21"/>
    </row>
    <row r="638" spans="1:3" ht="12.75" x14ac:dyDescent="0.2">
      <c r="A638" s="13"/>
      <c r="B638" s="13"/>
      <c r="C638" s="21"/>
    </row>
    <row r="639" spans="1:3" ht="12.75" x14ac:dyDescent="0.2">
      <c r="A639" s="13"/>
      <c r="B639" s="13"/>
      <c r="C639" s="21"/>
    </row>
    <row r="640" spans="1:3" ht="12.75" x14ac:dyDescent="0.2">
      <c r="A640" s="13"/>
      <c r="B640" s="13"/>
      <c r="C640" s="21"/>
    </row>
    <row r="641" spans="1:3" ht="12.75" x14ac:dyDescent="0.2">
      <c r="A641" s="13"/>
      <c r="B641" s="13"/>
      <c r="C641" s="21"/>
    </row>
    <row r="642" spans="1:3" ht="12.75" x14ac:dyDescent="0.2">
      <c r="A642" s="13"/>
      <c r="B642" s="13"/>
      <c r="C642" s="21"/>
    </row>
    <row r="643" spans="1:3" ht="12.75" x14ac:dyDescent="0.2">
      <c r="A643" s="13"/>
      <c r="B643" s="13"/>
      <c r="C643" s="21"/>
    </row>
    <row r="644" spans="1:3" ht="12.75" x14ac:dyDescent="0.2">
      <c r="A644" s="13"/>
      <c r="B644" s="13"/>
      <c r="C644" s="21"/>
    </row>
    <row r="645" spans="1:3" ht="12.75" x14ac:dyDescent="0.2">
      <c r="A645" s="13"/>
      <c r="B645" s="13"/>
      <c r="C645" s="21"/>
    </row>
    <row r="646" spans="1:3" ht="12.75" x14ac:dyDescent="0.2">
      <c r="A646" s="13"/>
      <c r="B646" s="13"/>
      <c r="C646" s="21"/>
    </row>
    <row r="647" spans="1:3" ht="12.75" x14ac:dyDescent="0.2">
      <c r="A647" s="13"/>
      <c r="B647" s="13"/>
      <c r="C647" s="21"/>
    </row>
    <row r="648" spans="1:3" ht="12.75" x14ac:dyDescent="0.2">
      <c r="A648" s="13"/>
      <c r="B648" s="13"/>
      <c r="C648" s="21"/>
    </row>
    <row r="649" spans="1:3" ht="12.75" x14ac:dyDescent="0.2">
      <c r="A649" s="13"/>
      <c r="B649" s="13"/>
      <c r="C649" s="21"/>
    </row>
    <row r="650" spans="1:3" ht="12.75" x14ac:dyDescent="0.2">
      <c r="A650" s="13"/>
      <c r="B650" s="13"/>
      <c r="C650" s="21"/>
    </row>
    <row r="651" spans="1:3" ht="12.75" x14ac:dyDescent="0.2">
      <c r="A651" s="13"/>
      <c r="B651" s="13"/>
      <c r="C651" s="21"/>
    </row>
    <row r="652" spans="1:3" ht="12.75" x14ac:dyDescent="0.2">
      <c r="A652" s="13"/>
      <c r="B652" s="13"/>
      <c r="C652" s="21"/>
    </row>
    <row r="653" spans="1:3" ht="12.75" x14ac:dyDescent="0.2">
      <c r="A653" s="13"/>
      <c r="B653" s="13"/>
      <c r="C653" s="21"/>
    </row>
    <row r="654" spans="1:3" ht="12.75" x14ac:dyDescent="0.2">
      <c r="A654" s="13"/>
      <c r="B654" s="13"/>
      <c r="C654" s="21"/>
    </row>
    <row r="655" spans="1:3" ht="12.75" x14ac:dyDescent="0.2">
      <c r="A655" s="13"/>
      <c r="B655" s="13"/>
      <c r="C655" s="21"/>
    </row>
    <row r="656" spans="1:3" ht="12.75" x14ac:dyDescent="0.2">
      <c r="A656" s="13"/>
      <c r="B656" s="13"/>
      <c r="C656" s="21"/>
    </row>
    <row r="657" spans="1:3" ht="12.75" x14ac:dyDescent="0.2">
      <c r="A657" s="13"/>
      <c r="B657" s="13"/>
      <c r="C657" s="21"/>
    </row>
    <row r="658" spans="1:3" ht="12.75" x14ac:dyDescent="0.2">
      <c r="A658" s="13"/>
      <c r="B658" s="13"/>
      <c r="C658" s="21"/>
    </row>
    <row r="659" spans="1:3" ht="12.75" x14ac:dyDescent="0.2">
      <c r="A659" s="13"/>
      <c r="B659" s="13"/>
      <c r="C659" s="21"/>
    </row>
    <row r="660" spans="1:3" ht="12.75" x14ac:dyDescent="0.2">
      <c r="A660" s="13"/>
      <c r="B660" s="13"/>
      <c r="C660" s="21"/>
    </row>
    <row r="661" spans="1:3" ht="12.75" x14ac:dyDescent="0.2">
      <c r="A661" s="13"/>
      <c r="B661" s="13"/>
      <c r="C661" s="21"/>
    </row>
    <row r="662" spans="1:3" ht="12.75" x14ac:dyDescent="0.2">
      <c r="A662" s="13"/>
      <c r="B662" s="13"/>
      <c r="C662" s="21"/>
    </row>
    <row r="663" spans="1:3" ht="12.75" x14ac:dyDescent="0.2">
      <c r="A663" s="13"/>
      <c r="B663" s="13"/>
      <c r="C663" s="21"/>
    </row>
    <row r="664" spans="1:3" ht="12.75" x14ac:dyDescent="0.2">
      <c r="A664" s="13"/>
      <c r="B664" s="13"/>
      <c r="C664" s="21"/>
    </row>
    <row r="665" spans="1:3" ht="12.75" x14ac:dyDescent="0.2">
      <c r="A665" s="13"/>
      <c r="B665" s="13"/>
      <c r="C665" s="21"/>
    </row>
    <row r="666" spans="1:3" ht="12.75" x14ac:dyDescent="0.2">
      <c r="A666" s="13"/>
      <c r="B666" s="13"/>
      <c r="C666" s="21"/>
    </row>
    <row r="667" spans="1:3" ht="12.75" x14ac:dyDescent="0.2">
      <c r="A667" s="13"/>
      <c r="B667" s="13"/>
      <c r="C667" s="21"/>
    </row>
    <row r="668" spans="1:3" ht="12.75" x14ac:dyDescent="0.2">
      <c r="A668" s="13"/>
      <c r="B668" s="13"/>
      <c r="C668" s="21"/>
    </row>
    <row r="669" spans="1:3" ht="12.75" x14ac:dyDescent="0.2">
      <c r="A669" s="13"/>
      <c r="B669" s="13"/>
      <c r="C669" s="21"/>
    </row>
    <row r="670" spans="1:3" ht="12.75" x14ac:dyDescent="0.2">
      <c r="A670" s="13"/>
      <c r="B670" s="13"/>
      <c r="C670" s="21"/>
    </row>
    <row r="671" spans="1:3" ht="12.75" x14ac:dyDescent="0.2">
      <c r="A671" s="13"/>
      <c r="B671" s="13"/>
      <c r="C671" s="21"/>
    </row>
    <row r="672" spans="1:3" ht="12.75" x14ac:dyDescent="0.2">
      <c r="A672" s="13"/>
      <c r="B672" s="13"/>
      <c r="C672" s="21"/>
    </row>
    <row r="673" spans="1:3" ht="12.75" x14ac:dyDescent="0.2">
      <c r="A673" s="13"/>
      <c r="B673" s="13"/>
      <c r="C673" s="21"/>
    </row>
    <row r="674" spans="1:3" ht="12.75" x14ac:dyDescent="0.2">
      <c r="A674" s="13"/>
      <c r="B674" s="13"/>
      <c r="C674" s="21"/>
    </row>
    <row r="675" spans="1:3" ht="12.75" x14ac:dyDescent="0.2">
      <c r="A675" s="13"/>
      <c r="B675" s="13"/>
      <c r="C675" s="21"/>
    </row>
    <row r="676" spans="1:3" ht="12.75" x14ac:dyDescent="0.2">
      <c r="A676" s="13"/>
      <c r="B676" s="13"/>
      <c r="C676" s="21"/>
    </row>
    <row r="677" spans="1:3" ht="12.75" x14ac:dyDescent="0.2">
      <c r="A677" s="13"/>
      <c r="B677" s="13"/>
      <c r="C677" s="21"/>
    </row>
    <row r="678" spans="1:3" ht="12.75" x14ac:dyDescent="0.2">
      <c r="A678" s="13"/>
      <c r="B678" s="13"/>
      <c r="C678" s="21"/>
    </row>
    <row r="679" spans="1:3" ht="12.75" x14ac:dyDescent="0.2">
      <c r="A679" s="13"/>
      <c r="B679" s="13"/>
      <c r="C679" s="21"/>
    </row>
    <row r="680" spans="1:3" ht="12.75" x14ac:dyDescent="0.2">
      <c r="A680" s="13"/>
      <c r="B680" s="13"/>
      <c r="C680" s="21"/>
    </row>
    <row r="681" spans="1:3" ht="12.75" x14ac:dyDescent="0.2">
      <c r="A681" s="13"/>
      <c r="B681" s="13"/>
      <c r="C681" s="21"/>
    </row>
    <row r="682" spans="1:3" ht="12.75" x14ac:dyDescent="0.2">
      <c r="A682" s="13"/>
      <c r="B682" s="13"/>
      <c r="C682" s="21"/>
    </row>
    <row r="683" spans="1:3" ht="12.75" x14ac:dyDescent="0.2">
      <c r="A683" s="13"/>
      <c r="B683" s="13"/>
      <c r="C683" s="21"/>
    </row>
    <row r="684" spans="1:3" ht="12.75" x14ac:dyDescent="0.2">
      <c r="A684" s="13"/>
      <c r="B684" s="13"/>
      <c r="C684" s="21"/>
    </row>
    <row r="685" spans="1:3" ht="12.75" x14ac:dyDescent="0.2">
      <c r="A685" s="13"/>
      <c r="B685" s="13"/>
      <c r="C685" s="21"/>
    </row>
    <row r="686" spans="1:3" ht="12.75" x14ac:dyDescent="0.2">
      <c r="A686" s="13"/>
      <c r="B686" s="13"/>
      <c r="C686" s="21"/>
    </row>
    <row r="687" spans="1:3" ht="12.75" x14ac:dyDescent="0.2">
      <c r="A687" s="13"/>
      <c r="B687" s="13"/>
      <c r="C687" s="21"/>
    </row>
    <row r="688" spans="1:3" ht="12.75" x14ac:dyDescent="0.2">
      <c r="A688" s="13"/>
      <c r="B688" s="13"/>
      <c r="C688" s="21"/>
    </row>
    <row r="689" spans="1:3" ht="12.75" x14ac:dyDescent="0.2">
      <c r="A689" s="13"/>
      <c r="B689" s="13"/>
      <c r="C689" s="21"/>
    </row>
    <row r="690" spans="1:3" ht="12.75" x14ac:dyDescent="0.2">
      <c r="A690" s="13"/>
      <c r="B690" s="13"/>
      <c r="C690" s="21"/>
    </row>
    <row r="691" spans="1:3" ht="12.75" x14ac:dyDescent="0.2">
      <c r="A691" s="13"/>
      <c r="B691" s="13"/>
      <c r="C691" s="21"/>
    </row>
    <row r="692" spans="1:3" ht="12.75" x14ac:dyDescent="0.2">
      <c r="A692" s="13"/>
      <c r="B692" s="13"/>
      <c r="C692" s="21"/>
    </row>
    <row r="693" spans="1:3" ht="12.75" x14ac:dyDescent="0.2">
      <c r="A693" s="13"/>
      <c r="B693" s="13"/>
      <c r="C693" s="21"/>
    </row>
    <row r="694" spans="1:3" ht="12.75" x14ac:dyDescent="0.2">
      <c r="A694" s="13"/>
      <c r="B694" s="13"/>
      <c r="C694" s="21"/>
    </row>
    <row r="695" spans="1:3" ht="12.75" x14ac:dyDescent="0.2">
      <c r="A695" s="13"/>
      <c r="B695" s="13"/>
      <c r="C695" s="21"/>
    </row>
    <row r="696" spans="1:3" ht="12.75" x14ac:dyDescent="0.2">
      <c r="A696" s="13"/>
      <c r="B696" s="13"/>
      <c r="C696" s="21"/>
    </row>
    <row r="697" spans="1:3" ht="12.75" x14ac:dyDescent="0.2">
      <c r="A697" s="13"/>
      <c r="B697" s="13"/>
      <c r="C697" s="21"/>
    </row>
    <row r="698" spans="1:3" ht="12.75" x14ac:dyDescent="0.2">
      <c r="A698" s="13"/>
      <c r="B698" s="13"/>
      <c r="C698" s="21"/>
    </row>
    <row r="699" spans="1:3" ht="12.75" x14ac:dyDescent="0.2">
      <c r="A699" s="13"/>
      <c r="B699" s="13"/>
      <c r="C699" s="21"/>
    </row>
    <row r="700" spans="1:3" ht="12.75" x14ac:dyDescent="0.2">
      <c r="A700" s="13"/>
      <c r="B700" s="13"/>
      <c r="C700" s="21"/>
    </row>
    <row r="701" spans="1:3" ht="12.75" x14ac:dyDescent="0.2">
      <c r="A701" s="13"/>
      <c r="B701" s="13"/>
      <c r="C701" s="21"/>
    </row>
    <row r="702" spans="1:3" ht="12.75" x14ac:dyDescent="0.2">
      <c r="A702" s="13"/>
      <c r="B702" s="13"/>
      <c r="C702" s="21"/>
    </row>
    <row r="703" spans="1:3" ht="12.75" x14ac:dyDescent="0.2">
      <c r="A703" s="13"/>
      <c r="B703" s="13"/>
      <c r="C703" s="21"/>
    </row>
    <row r="704" spans="1:3" ht="12.75" x14ac:dyDescent="0.2">
      <c r="A704" s="13"/>
      <c r="B704" s="13"/>
      <c r="C704" s="21"/>
    </row>
    <row r="705" spans="1:3" ht="12.75" x14ac:dyDescent="0.2">
      <c r="A705" s="13"/>
      <c r="B705" s="13"/>
      <c r="C705" s="21"/>
    </row>
    <row r="706" spans="1:3" ht="12.75" x14ac:dyDescent="0.2">
      <c r="A706" s="13"/>
      <c r="B706" s="13"/>
      <c r="C706" s="21"/>
    </row>
    <row r="707" spans="1:3" ht="12.75" x14ac:dyDescent="0.2">
      <c r="A707" s="13"/>
      <c r="B707" s="13"/>
      <c r="C707" s="21"/>
    </row>
    <row r="708" spans="1:3" ht="12.75" x14ac:dyDescent="0.2">
      <c r="A708" s="13"/>
      <c r="B708" s="13"/>
      <c r="C708" s="21"/>
    </row>
    <row r="709" spans="1:3" ht="12.75" x14ac:dyDescent="0.2">
      <c r="A709" s="13"/>
      <c r="B709" s="13"/>
      <c r="C709" s="21"/>
    </row>
    <row r="710" spans="1:3" ht="12.75" x14ac:dyDescent="0.2">
      <c r="A710" s="13"/>
      <c r="B710" s="13"/>
      <c r="C710" s="21"/>
    </row>
    <row r="711" spans="1:3" ht="12.75" x14ac:dyDescent="0.2">
      <c r="A711" s="13"/>
      <c r="B711" s="13"/>
      <c r="C711" s="21"/>
    </row>
    <row r="712" spans="1:3" ht="12.75" x14ac:dyDescent="0.2">
      <c r="A712" s="13"/>
      <c r="B712" s="13"/>
      <c r="C712" s="21"/>
    </row>
    <row r="713" spans="1:3" ht="12.75" x14ac:dyDescent="0.2">
      <c r="A713" s="13"/>
      <c r="B713" s="13"/>
      <c r="C713" s="21"/>
    </row>
    <row r="714" spans="1:3" ht="12.75" x14ac:dyDescent="0.2">
      <c r="A714" s="13"/>
      <c r="B714" s="13"/>
      <c r="C714" s="21"/>
    </row>
    <row r="715" spans="1:3" ht="12.75" x14ac:dyDescent="0.2">
      <c r="A715" s="13"/>
      <c r="B715" s="13"/>
      <c r="C715" s="21"/>
    </row>
    <row r="716" spans="1:3" ht="12.75" x14ac:dyDescent="0.2">
      <c r="A716" s="13"/>
      <c r="B716" s="13"/>
      <c r="C716" s="21"/>
    </row>
    <row r="717" spans="1:3" ht="12.75" x14ac:dyDescent="0.2">
      <c r="A717" s="13"/>
      <c r="B717" s="13"/>
      <c r="C717" s="21"/>
    </row>
    <row r="718" spans="1:3" ht="12.75" x14ac:dyDescent="0.2">
      <c r="A718" s="13"/>
      <c r="B718" s="13"/>
      <c r="C718" s="21"/>
    </row>
    <row r="719" spans="1:3" ht="12.75" x14ac:dyDescent="0.2">
      <c r="A719" s="13"/>
      <c r="B719" s="13"/>
      <c r="C719" s="21"/>
    </row>
    <row r="720" spans="1:3" ht="12.75" x14ac:dyDescent="0.2">
      <c r="A720" s="13"/>
      <c r="B720" s="13"/>
      <c r="C720" s="21"/>
    </row>
    <row r="721" spans="1:3" ht="12.75" x14ac:dyDescent="0.2">
      <c r="A721" s="13"/>
      <c r="B721" s="13"/>
      <c r="C721" s="21"/>
    </row>
    <row r="722" spans="1:3" ht="12.75" x14ac:dyDescent="0.2">
      <c r="A722" s="13"/>
      <c r="B722" s="13"/>
      <c r="C722" s="21"/>
    </row>
    <row r="723" spans="1:3" ht="12.75" x14ac:dyDescent="0.2">
      <c r="A723" s="13"/>
      <c r="B723" s="13"/>
      <c r="C723" s="21"/>
    </row>
    <row r="724" spans="1:3" ht="12.75" x14ac:dyDescent="0.2">
      <c r="A724" s="13"/>
      <c r="B724" s="13"/>
      <c r="C724" s="21"/>
    </row>
    <row r="725" spans="1:3" ht="12.75" x14ac:dyDescent="0.2">
      <c r="A725" s="13"/>
      <c r="B725" s="13"/>
      <c r="C725" s="21"/>
    </row>
    <row r="726" spans="1:3" ht="12.75" x14ac:dyDescent="0.2">
      <c r="A726" s="13"/>
      <c r="B726" s="13"/>
      <c r="C726" s="21"/>
    </row>
    <row r="727" spans="1:3" ht="12.75" x14ac:dyDescent="0.2">
      <c r="A727" s="13"/>
      <c r="B727" s="13"/>
      <c r="C727" s="21"/>
    </row>
    <row r="728" spans="1:3" ht="12.75" x14ac:dyDescent="0.2">
      <c r="A728" s="13"/>
      <c r="B728" s="13"/>
      <c r="C728" s="21"/>
    </row>
    <row r="729" spans="1:3" ht="12.75" x14ac:dyDescent="0.2">
      <c r="A729" s="13"/>
      <c r="B729" s="13"/>
      <c r="C729" s="21"/>
    </row>
    <row r="730" spans="1:3" ht="12.75" x14ac:dyDescent="0.2">
      <c r="A730" s="13"/>
      <c r="B730" s="13"/>
      <c r="C730" s="21"/>
    </row>
    <row r="731" spans="1:3" ht="12.75" x14ac:dyDescent="0.2">
      <c r="A731" s="13"/>
      <c r="B731" s="13"/>
      <c r="C731" s="21"/>
    </row>
    <row r="732" spans="1:3" ht="12.75" x14ac:dyDescent="0.2">
      <c r="A732" s="13"/>
      <c r="B732" s="13"/>
      <c r="C732" s="21"/>
    </row>
    <row r="733" spans="1:3" ht="12.75" x14ac:dyDescent="0.2">
      <c r="A733" s="13"/>
      <c r="B733" s="13"/>
      <c r="C733" s="21"/>
    </row>
    <row r="734" spans="1:3" ht="12.75" x14ac:dyDescent="0.2">
      <c r="A734" s="13"/>
      <c r="B734" s="13"/>
      <c r="C734" s="21"/>
    </row>
    <row r="735" spans="1:3" ht="12.75" x14ac:dyDescent="0.2">
      <c r="A735" s="13"/>
      <c r="B735" s="13"/>
      <c r="C735" s="21"/>
    </row>
    <row r="736" spans="1:3" ht="12.75" x14ac:dyDescent="0.2">
      <c r="A736" s="13"/>
      <c r="B736" s="13"/>
      <c r="C736" s="21"/>
    </row>
    <row r="737" spans="1:3" ht="12.75" x14ac:dyDescent="0.2">
      <c r="A737" s="13"/>
      <c r="B737" s="13"/>
      <c r="C737" s="21"/>
    </row>
    <row r="738" spans="1:3" ht="12.75" x14ac:dyDescent="0.2">
      <c r="A738" s="13"/>
      <c r="B738" s="13"/>
      <c r="C738" s="21"/>
    </row>
    <row r="739" spans="1:3" ht="12.75" x14ac:dyDescent="0.2">
      <c r="A739" s="13"/>
      <c r="B739" s="13"/>
      <c r="C739" s="21"/>
    </row>
    <row r="740" spans="1:3" ht="12.75" x14ac:dyDescent="0.2">
      <c r="A740" s="13"/>
      <c r="B740" s="13"/>
      <c r="C740" s="21"/>
    </row>
    <row r="741" spans="1:3" ht="12.75" x14ac:dyDescent="0.2">
      <c r="A741" s="13"/>
      <c r="B741" s="13"/>
      <c r="C741" s="21"/>
    </row>
    <row r="742" spans="1:3" ht="12.75" x14ac:dyDescent="0.2">
      <c r="A742" s="13"/>
      <c r="B742" s="13"/>
      <c r="C742" s="21"/>
    </row>
    <row r="743" spans="1:3" ht="12.75" x14ac:dyDescent="0.2">
      <c r="A743" s="13"/>
      <c r="B743" s="13"/>
      <c r="C743" s="21"/>
    </row>
    <row r="744" spans="1:3" ht="12.75" x14ac:dyDescent="0.2">
      <c r="A744" s="13"/>
      <c r="B744" s="13"/>
      <c r="C744" s="21"/>
    </row>
    <row r="745" spans="1:3" ht="12.75" x14ac:dyDescent="0.2">
      <c r="A745" s="13"/>
      <c r="B745" s="13"/>
      <c r="C745" s="21"/>
    </row>
    <row r="746" spans="1:3" ht="12.75" x14ac:dyDescent="0.2">
      <c r="A746" s="13"/>
      <c r="B746" s="13"/>
      <c r="C746" s="21"/>
    </row>
    <row r="747" spans="1:3" ht="12.75" x14ac:dyDescent="0.2">
      <c r="A747" s="13"/>
      <c r="B747" s="13"/>
      <c r="C747" s="21"/>
    </row>
    <row r="748" spans="1:3" ht="12.75" x14ac:dyDescent="0.2">
      <c r="A748" s="13"/>
      <c r="B748" s="13"/>
      <c r="C748" s="21"/>
    </row>
    <row r="749" spans="1:3" ht="12.75" x14ac:dyDescent="0.2">
      <c r="A749" s="13"/>
      <c r="B749" s="13"/>
      <c r="C749" s="21"/>
    </row>
    <row r="750" spans="1:3" ht="12.75" x14ac:dyDescent="0.2">
      <c r="A750" s="13"/>
      <c r="B750" s="13"/>
      <c r="C750" s="21"/>
    </row>
    <row r="751" spans="1:3" ht="12.75" x14ac:dyDescent="0.2">
      <c r="A751" s="13"/>
      <c r="B751" s="13"/>
      <c r="C751" s="21"/>
    </row>
    <row r="752" spans="1:3" ht="12.75" x14ac:dyDescent="0.2">
      <c r="A752" s="13"/>
      <c r="B752" s="13"/>
      <c r="C752" s="21"/>
    </row>
    <row r="753" spans="1:3" ht="12.75" x14ac:dyDescent="0.2">
      <c r="A753" s="13"/>
      <c r="B753" s="13"/>
      <c r="C753" s="21"/>
    </row>
    <row r="754" spans="1:3" ht="12.75" x14ac:dyDescent="0.2">
      <c r="A754" s="13"/>
      <c r="B754" s="13"/>
      <c r="C754" s="21"/>
    </row>
    <row r="755" spans="1:3" ht="12.75" x14ac:dyDescent="0.2">
      <c r="A755" s="13"/>
      <c r="B755" s="13"/>
      <c r="C755" s="21"/>
    </row>
    <row r="756" spans="1:3" ht="12.75" x14ac:dyDescent="0.2">
      <c r="A756" s="13"/>
      <c r="B756" s="13"/>
      <c r="C756" s="21"/>
    </row>
    <row r="757" spans="1:3" ht="12.75" x14ac:dyDescent="0.2">
      <c r="A757" s="13"/>
      <c r="B757" s="13"/>
      <c r="C757" s="21"/>
    </row>
    <row r="758" spans="1:3" ht="12.75" x14ac:dyDescent="0.2">
      <c r="A758" s="13"/>
      <c r="B758" s="13"/>
      <c r="C758" s="21"/>
    </row>
    <row r="759" spans="1:3" ht="12.75" x14ac:dyDescent="0.2">
      <c r="A759" s="13"/>
      <c r="B759" s="13"/>
      <c r="C759" s="21"/>
    </row>
    <row r="760" spans="1:3" ht="12.75" x14ac:dyDescent="0.2">
      <c r="A760" s="13"/>
      <c r="B760" s="13"/>
      <c r="C760" s="21"/>
    </row>
    <row r="761" spans="1:3" ht="12.75" x14ac:dyDescent="0.2">
      <c r="A761" s="13"/>
      <c r="B761" s="13"/>
      <c r="C761" s="21"/>
    </row>
    <row r="762" spans="1:3" ht="12.75" x14ac:dyDescent="0.2">
      <c r="A762" s="13"/>
      <c r="B762" s="13"/>
      <c r="C762" s="21"/>
    </row>
    <row r="763" spans="1:3" ht="12.75" x14ac:dyDescent="0.2">
      <c r="A763" s="13"/>
      <c r="B763" s="13"/>
      <c r="C763" s="21"/>
    </row>
    <row r="764" spans="1:3" ht="12.75" x14ac:dyDescent="0.2">
      <c r="A764" s="13"/>
      <c r="B764" s="13"/>
      <c r="C764" s="21"/>
    </row>
    <row r="765" spans="1:3" ht="12.75" x14ac:dyDescent="0.2">
      <c r="A765" s="13"/>
      <c r="B765" s="13"/>
      <c r="C765" s="21"/>
    </row>
    <row r="766" spans="1:3" ht="12.75" x14ac:dyDescent="0.2">
      <c r="A766" s="13"/>
      <c r="B766" s="13"/>
      <c r="C766" s="21"/>
    </row>
    <row r="767" spans="1:3" ht="12.75" x14ac:dyDescent="0.2">
      <c r="A767" s="13"/>
      <c r="B767" s="13"/>
      <c r="C767" s="21"/>
    </row>
    <row r="768" spans="1:3" ht="12.75" x14ac:dyDescent="0.2">
      <c r="A768" s="13"/>
      <c r="B768" s="13"/>
      <c r="C768" s="21"/>
    </row>
    <row r="769" spans="1:3" ht="12.75" x14ac:dyDescent="0.2">
      <c r="A769" s="13"/>
      <c r="B769" s="13"/>
      <c r="C769" s="21"/>
    </row>
    <row r="770" spans="1:3" ht="12.75" x14ac:dyDescent="0.2">
      <c r="A770" s="13"/>
      <c r="B770" s="13"/>
      <c r="C770" s="21"/>
    </row>
    <row r="771" spans="1:3" ht="12.75" x14ac:dyDescent="0.2">
      <c r="A771" s="13"/>
      <c r="B771" s="13"/>
      <c r="C771" s="21"/>
    </row>
    <row r="772" spans="1:3" ht="12.75" x14ac:dyDescent="0.2">
      <c r="A772" s="13"/>
      <c r="B772" s="13"/>
      <c r="C772" s="21"/>
    </row>
    <row r="773" spans="1:3" ht="12.75" x14ac:dyDescent="0.2">
      <c r="A773" s="13"/>
      <c r="B773" s="13"/>
      <c r="C773" s="21"/>
    </row>
    <row r="774" spans="1:3" ht="12.75" x14ac:dyDescent="0.2">
      <c r="A774" s="13"/>
      <c r="B774" s="13"/>
      <c r="C774" s="21"/>
    </row>
    <row r="775" spans="1:3" ht="12.75" x14ac:dyDescent="0.2">
      <c r="A775" s="13"/>
      <c r="B775" s="13"/>
      <c r="C775" s="21"/>
    </row>
    <row r="776" spans="1:3" ht="12.75" x14ac:dyDescent="0.2">
      <c r="A776" s="13"/>
      <c r="B776" s="13"/>
      <c r="C776" s="21"/>
    </row>
    <row r="777" spans="1:3" ht="12.75" x14ac:dyDescent="0.2">
      <c r="A777" s="13"/>
      <c r="B777" s="13"/>
      <c r="C777" s="21"/>
    </row>
    <row r="778" spans="1:3" ht="12.75" x14ac:dyDescent="0.2">
      <c r="A778" s="13"/>
      <c r="B778" s="13"/>
      <c r="C778" s="21"/>
    </row>
    <row r="779" spans="1:3" ht="12.75" x14ac:dyDescent="0.2">
      <c r="A779" s="13"/>
      <c r="B779" s="13"/>
      <c r="C779" s="21"/>
    </row>
    <row r="780" spans="1:3" ht="12.75" x14ac:dyDescent="0.2">
      <c r="A780" s="13"/>
      <c r="B780" s="13"/>
      <c r="C780" s="21"/>
    </row>
    <row r="781" spans="1:3" ht="12.75" x14ac:dyDescent="0.2">
      <c r="A781" s="13"/>
      <c r="B781" s="13"/>
      <c r="C781" s="21"/>
    </row>
    <row r="782" spans="1:3" ht="12.75" x14ac:dyDescent="0.2">
      <c r="A782" s="13"/>
      <c r="B782" s="13"/>
      <c r="C782" s="21"/>
    </row>
    <row r="783" spans="1:3" ht="12.75" x14ac:dyDescent="0.2">
      <c r="A783" s="13"/>
      <c r="B783" s="13"/>
      <c r="C783" s="21"/>
    </row>
    <row r="784" spans="1:3" ht="12.75" x14ac:dyDescent="0.2">
      <c r="A784" s="13"/>
      <c r="B784" s="13"/>
      <c r="C784" s="21"/>
    </row>
    <row r="785" spans="1:3" ht="12.75" x14ac:dyDescent="0.2">
      <c r="A785" s="13"/>
      <c r="B785" s="13"/>
      <c r="C785" s="21"/>
    </row>
    <row r="786" spans="1:3" ht="12.75" x14ac:dyDescent="0.2">
      <c r="A786" s="13"/>
      <c r="B786" s="13"/>
      <c r="C786" s="21"/>
    </row>
    <row r="787" spans="1:3" ht="12.75" x14ac:dyDescent="0.2">
      <c r="A787" s="13"/>
      <c r="B787" s="13"/>
      <c r="C787" s="21"/>
    </row>
    <row r="788" spans="1:3" ht="12.75" x14ac:dyDescent="0.2">
      <c r="A788" s="13"/>
      <c r="B788" s="13"/>
      <c r="C788" s="21"/>
    </row>
    <row r="789" spans="1:3" ht="12.75" x14ac:dyDescent="0.2">
      <c r="A789" s="13"/>
      <c r="B789" s="13"/>
      <c r="C789" s="21"/>
    </row>
    <row r="790" spans="1:3" ht="12.75" x14ac:dyDescent="0.2">
      <c r="A790" s="13"/>
      <c r="B790" s="13"/>
      <c r="C790" s="21"/>
    </row>
    <row r="791" spans="1:3" ht="12.75" x14ac:dyDescent="0.2">
      <c r="A791" s="13"/>
      <c r="B791" s="13"/>
      <c r="C791" s="21"/>
    </row>
    <row r="792" spans="1:3" ht="12.75" x14ac:dyDescent="0.2">
      <c r="A792" s="13"/>
      <c r="B792" s="13"/>
      <c r="C792" s="21"/>
    </row>
    <row r="793" spans="1:3" ht="12.75" x14ac:dyDescent="0.2">
      <c r="A793" s="13"/>
      <c r="B793" s="13"/>
      <c r="C793" s="21"/>
    </row>
    <row r="794" spans="1:3" ht="12.75" x14ac:dyDescent="0.2">
      <c r="A794" s="13"/>
      <c r="B794" s="13"/>
      <c r="C794" s="21"/>
    </row>
    <row r="795" spans="1:3" ht="12.75" x14ac:dyDescent="0.2">
      <c r="A795" s="13"/>
      <c r="B795" s="13"/>
      <c r="C795" s="21"/>
    </row>
    <row r="796" spans="1:3" ht="12.75" x14ac:dyDescent="0.2">
      <c r="A796" s="13"/>
      <c r="B796" s="13"/>
      <c r="C796" s="21"/>
    </row>
    <row r="797" spans="1:3" ht="12.75" x14ac:dyDescent="0.2">
      <c r="A797" s="13"/>
      <c r="B797" s="13"/>
      <c r="C797" s="21"/>
    </row>
    <row r="798" spans="1:3" ht="12.75" x14ac:dyDescent="0.2">
      <c r="A798" s="13"/>
      <c r="B798" s="13"/>
      <c r="C798" s="21"/>
    </row>
    <row r="799" spans="1:3" ht="12.75" x14ac:dyDescent="0.2">
      <c r="A799" s="13"/>
      <c r="B799" s="13"/>
      <c r="C799" s="21"/>
    </row>
    <row r="800" spans="1:3" ht="12.75" x14ac:dyDescent="0.2">
      <c r="A800" s="13"/>
      <c r="B800" s="13"/>
      <c r="C800" s="21"/>
    </row>
    <row r="801" spans="1:3" ht="12.75" x14ac:dyDescent="0.2">
      <c r="A801" s="13"/>
      <c r="B801" s="13"/>
      <c r="C801" s="21"/>
    </row>
    <row r="802" spans="1:3" ht="12.75" x14ac:dyDescent="0.2">
      <c r="A802" s="13"/>
      <c r="B802" s="13"/>
      <c r="C802" s="21"/>
    </row>
    <row r="803" spans="1:3" ht="12.75" x14ac:dyDescent="0.2">
      <c r="A803" s="13"/>
      <c r="B803" s="13"/>
      <c r="C803" s="21"/>
    </row>
    <row r="804" spans="1:3" ht="12.75" x14ac:dyDescent="0.2">
      <c r="A804" s="13"/>
      <c r="B804" s="13"/>
      <c r="C804" s="21"/>
    </row>
    <row r="805" spans="1:3" ht="12.75" x14ac:dyDescent="0.2">
      <c r="A805" s="13"/>
      <c r="B805" s="13"/>
      <c r="C805" s="21"/>
    </row>
    <row r="806" spans="1:3" ht="12.75" x14ac:dyDescent="0.2">
      <c r="A806" s="13"/>
      <c r="B806" s="13"/>
      <c r="C806" s="21"/>
    </row>
    <row r="807" spans="1:3" ht="12.75" x14ac:dyDescent="0.2">
      <c r="A807" s="13"/>
      <c r="B807" s="13"/>
      <c r="C807" s="21"/>
    </row>
    <row r="808" spans="1:3" ht="12.75" x14ac:dyDescent="0.2">
      <c r="A808" s="13"/>
      <c r="B808" s="13"/>
      <c r="C808" s="21"/>
    </row>
    <row r="809" spans="1:3" ht="12.75" x14ac:dyDescent="0.2">
      <c r="A809" s="13"/>
      <c r="B809" s="13"/>
      <c r="C809" s="21"/>
    </row>
    <row r="810" spans="1:3" ht="12.75" x14ac:dyDescent="0.2">
      <c r="A810" s="13"/>
      <c r="B810" s="13"/>
      <c r="C810" s="21"/>
    </row>
    <row r="811" spans="1:3" ht="12.75" x14ac:dyDescent="0.2">
      <c r="A811" s="13"/>
      <c r="B811" s="13"/>
      <c r="C811" s="21"/>
    </row>
    <row r="812" spans="1:3" ht="12.75" x14ac:dyDescent="0.2">
      <c r="A812" s="13"/>
      <c r="B812" s="13"/>
      <c r="C812" s="21"/>
    </row>
    <row r="813" spans="1:3" ht="12.75" x14ac:dyDescent="0.2">
      <c r="A813" s="13"/>
      <c r="B813" s="13"/>
      <c r="C813" s="21"/>
    </row>
    <row r="814" spans="1:3" ht="12.75" x14ac:dyDescent="0.2">
      <c r="A814" s="13"/>
      <c r="B814" s="13"/>
      <c r="C814" s="21"/>
    </row>
    <row r="815" spans="1:3" ht="12.75" x14ac:dyDescent="0.2">
      <c r="A815" s="13"/>
      <c r="B815" s="13"/>
      <c r="C815" s="21"/>
    </row>
    <row r="816" spans="1:3" ht="12.75" x14ac:dyDescent="0.2">
      <c r="A816" s="13"/>
      <c r="B816" s="13"/>
      <c r="C816" s="21"/>
    </row>
    <row r="817" spans="1:3" ht="12.75" x14ac:dyDescent="0.2">
      <c r="A817" s="13"/>
      <c r="B817" s="13"/>
      <c r="C817" s="21"/>
    </row>
    <row r="818" spans="1:3" ht="12.75" x14ac:dyDescent="0.2">
      <c r="A818" s="13"/>
      <c r="B818" s="13"/>
      <c r="C818" s="21"/>
    </row>
    <row r="819" spans="1:3" ht="12.75" x14ac:dyDescent="0.2">
      <c r="A819" s="13"/>
      <c r="B819" s="13"/>
      <c r="C819" s="21"/>
    </row>
    <row r="820" spans="1:3" ht="12.75" x14ac:dyDescent="0.2">
      <c r="A820" s="13"/>
      <c r="B820" s="13"/>
      <c r="C820" s="21"/>
    </row>
    <row r="821" spans="1:3" ht="12.75" x14ac:dyDescent="0.2">
      <c r="A821" s="13"/>
      <c r="B821" s="13"/>
      <c r="C821" s="21"/>
    </row>
    <row r="822" spans="1:3" ht="12.75" x14ac:dyDescent="0.2">
      <c r="A822" s="13"/>
      <c r="B822" s="13"/>
      <c r="C822" s="21"/>
    </row>
    <row r="823" spans="1:3" ht="12.75" x14ac:dyDescent="0.2">
      <c r="A823" s="13"/>
      <c r="B823" s="13"/>
      <c r="C823" s="21"/>
    </row>
    <row r="824" spans="1:3" ht="12.75" x14ac:dyDescent="0.2">
      <c r="A824" s="13"/>
      <c r="B824" s="13"/>
      <c r="C824" s="21"/>
    </row>
    <row r="825" spans="1:3" ht="12.75" x14ac:dyDescent="0.2">
      <c r="A825" s="13"/>
      <c r="B825" s="13"/>
      <c r="C825" s="21"/>
    </row>
    <row r="826" spans="1:3" ht="12.75" x14ac:dyDescent="0.2">
      <c r="A826" s="13"/>
      <c r="B826" s="13"/>
      <c r="C826" s="21"/>
    </row>
    <row r="827" spans="1:3" ht="12.75" x14ac:dyDescent="0.2">
      <c r="A827" s="13"/>
      <c r="B827" s="13"/>
      <c r="C827" s="21"/>
    </row>
    <row r="828" spans="1:3" ht="12.75" x14ac:dyDescent="0.2">
      <c r="A828" s="13"/>
      <c r="B828" s="13"/>
      <c r="C828" s="21"/>
    </row>
    <row r="829" spans="1:3" ht="12.75" x14ac:dyDescent="0.2">
      <c r="A829" s="13"/>
      <c r="B829" s="13"/>
      <c r="C829" s="21"/>
    </row>
    <row r="830" spans="1:3" ht="12.75" x14ac:dyDescent="0.2">
      <c r="A830" s="13"/>
      <c r="B830" s="13"/>
      <c r="C830" s="21"/>
    </row>
    <row r="831" spans="1:3" ht="12.75" x14ac:dyDescent="0.2">
      <c r="A831" s="13"/>
      <c r="B831" s="13"/>
      <c r="C831" s="21"/>
    </row>
    <row r="832" spans="1:3" ht="12.75" x14ac:dyDescent="0.2">
      <c r="A832" s="13"/>
      <c r="B832" s="13"/>
      <c r="C832" s="21"/>
    </row>
    <row r="833" spans="1:3" ht="12.75" x14ac:dyDescent="0.2">
      <c r="A833" s="13"/>
      <c r="B833" s="13"/>
      <c r="C833" s="21"/>
    </row>
    <row r="834" spans="1:3" ht="12.75" x14ac:dyDescent="0.2">
      <c r="A834" s="13"/>
      <c r="B834" s="13"/>
      <c r="C834" s="21"/>
    </row>
    <row r="835" spans="1:3" ht="12.75" x14ac:dyDescent="0.2">
      <c r="A835" s="13"/>
      <c r="B835" s="13"/>
      <c r="C835" s="21"/>
    </row>
    <row r="836" spans="1:3" ht="12.75" x14ac:dyDescent="0.2">
      <c r="A836" s="13"/>
      <c r="B836" s="13"/>
      <c r="C836" s="21"/>
    </row>
    <row r="837" spans="1:3" ht="12.75" x14ac:dyDescent="0.2">
      <c r="A837" s="13"/>
      <c r="B837" s="13"/>
      <c r="C837" s="21"/>
    </row>
    <row r="838" spans="1:3" ht="12.75" x14ac:dyDescent="0.2">
      <c r="A838" s="13"/>
      <c r="B838" s="13"/>
      <c r="C838" s="21"/>
    </row>
    <row r="839" spans="1:3" ht="12.75" x14ac:dyDescent="0.2">
      <c r="A839" s="13"/>
      <c r="B839" s="13"/>
      <c r="C839" s="21"/>
    </row>
    <row r="840" spans="1:3" ht="12.75" x14ac:dyDescent="0.2">
      <c r="A840" s="13"/>
      <c r="B840" s="13"/>
      <c r="C840" s="21"/>
    </row>
    <row r="841" spans="1:3" ht="12.75" x14ac:dyDescent="0.2">
      <c r="A841" s="13"/>
      <c r="B841" s="13"/>
      <c r="C841" s="21"/>
    </row>
    <row r="842" spans="1:3" ht="12.75" x14ac:dyDescent="0.2">
      <c r="A842" s="13"/>
      <c r="B842" s="13"/>
      <c r="C842" s="21"/>
    </row>
    <row r="843" spans="1:3" ht="12.75" x14ac:dyDescent="0.2">
      <c r="A843" s="13"/>
      <c r="B843" s="13"/>
      <c r="C843" s="21"/>
    </row>
    <row r="844" spans="1:3" ht="12.75" x14ac:dyDescent="0.2">
      <c r="A844" s="13"/>
      <c r="B844" s="13"/>
      <c r="C844" s="21"/>
    </row>
    <row r="845" spans="1:3" ht="12.75" x14ac:dyDescent="0.2">
      <c r="A845" s="13"/>
      <c r="B845" s="13"/>
      <c r="C845" s="21"/>
    </row>
    <row r="846" spans="1:3" ht="12.75" x14ac:dyDescent="0.2">
      <c r="A846" s="13"/>
      <c r="B846" s="13"/>
      <c r="C846" s="21"/>
    </row>
    <row r="847" spans="1:3" ht="12.75" x14ac:dyDescent="0.2">
      <c r="A847" s="13"/>
      <c r="B847" s="13"/>
      <c r="C847" s="21"/>
    </row>
    <row r="848" spans="1:3" ht="12.75" x14ac:dyDescent="0.2">
      <c r="A848" s="13"/>
      <c r="B848" s="13"/>
      <c r="C848" s="21"/>
    </row>
    <row r="849" spans="1:3" ht="12.75" x14ac:dyDescent="0.2">
      <c r="A849" s="13"/>
      <c r="B849" s="13"/>
      <c r="C849" s="21"/>
    </row>
    <row r="850" spans="1:3" ht="12.75" x14ac:dyDescent="0.2">
      <c r="A850" s="13"/>
      <c r="B850" s="13"/>
      <c r="C850" s="21"/>
    </row>
    <row r="851" spans="1:3" ht="12.75" x14ac:dyDescent="0.2">
      <c r="A851" s="13"/>
      <c r="B851" s="13"/>
      <c r="C851" s="21"/>
    </row>
    <row r="852" spans="1:3" ht="12.75" x14ac:dyDescent="0.2">
      <c r="A852" s="13"/>
      <c r="B852" s="13"/>
      <c r="C852" s="21"/>
    </row>
    <row r="853" spans="1:3" ht="12.75" x14ac:dyDescent="0.2">
      <c r="A853" s="13"/>
      <c r="B853" s="13"/>
      <c r="C853" s="21"/>
    </row>
    <row r="854" spans="1:3" ht="12.75" x14ac:dyDescent="0.2">
      <c r="A854" s="13"/>
      <c r="B854" s="13"/>
      <c r="C854" s="21"/>
    </row>
    <row r="855" spans="1:3" ht="12.75" x14ac:dyDescent="0.2">
      <c r="A855" s="13"/>
      <c r="B855" s="13"/>
      <c r="C855" s="21"/>
    </row>
    <row r="856" spans="1:3" ht="12.75" x14ac:dyDescent="0.2">
      <c r="A856" s="13"/>
      <c r="B856" s="13"/>
      <c r="C856" s="21"/>
    </row>
    <row r="857" spans="1:3" ht="12.75" x14ac:dyDescent="0.2">
      <c r="A857" s="13"/>
      <c r="B857" s="13"/>
      <c r="C857" s="21"/>
    </row>
    <row r="858" spans="1:3" ht="12.75" x14ac:dyDescent="0.2">
      <c r="A858" s="13"/>
      <c r="B858" s="13"/>
      <c r="C858" s="21"/>
    </row>
    <row r="859" spans="1:3" ht="12.75" x14ac:dyDescent="0.2">
      <c r="A859" s="13"/>
      <c r="B859" s="13"/>
      <c r="C859" s="21"/>
    </row>
    <row r="860" spans="1:3" ht="12.75" x14ac:dyDescent="0.2">
      <c r="A860" s="13"/>
      <c r="B860" s="13"/>
      <c r="C860" s="21"/>
    </row>
    <row r="861" spans="1:3" ht="12.75" x14ac:dyDescent="0.2">
      <c r="A861" s="13"/>
      <c r="B861" s="13"/>
      <c r="C861" s="21"/>
    </row>
    <row r="862" spans="1:3" ht="12.75" x14ac:dyDescent="0.2">
      <c r="A862" s="13"/>
      <c r="B862" s="13"/>
      <c r="C862" s="21"/>
    </row>
    <row r="863" spans="1:3" ht="12.75" x14ac:dyDescent="0.2">
      <c r="A863" s="13"/>
      <c r="B863" s="13"/>
      <c r="C863" s="21"/>
    </row>
    <row r="864" spans="1:3" ht="12.75" x14ac:dyDescent="0.2">
      <c r="A864" s="13"/>
      <c r="B864" s="13"/>
      <c r="C864" s="21"/>
    </row>
    <row r="865" spans="1:3" ht="12.75" x14ac:dyDescent="0.2">
      <c r="A865" s="13"/>
      <c r="B865" s="13"/>
      <c r="C865" s="21"/>
    </row>
    <row r="866" spans="1:3" ht="12.75" x14ac:dyDescent="0.2">
      <c r="A866" s="13"/>
      <c r="B866" s="13"/>
      <c r="C866" s="21"/>
    </row>
    <row r="867" spans="1:3" ht="12.75" x14ac:dyDescent="0.2">
      <c r="A867" s="13"/>
      <c r="B867" s="13"/>
      <c r="C867" s="21"/>
    </row>
    <row r="868" spans="1:3" ht="12.75" x14ac:dyDescent="0.2">
      <c r="A868" s="13"/>
      <c r="B868" s="13"/>
      <c r="C868" s="21"/>
    </row>
    <row r="869" spans="1:3" ht="12.75" x14ac:dyDescent="0.2">
      <c r="A869" s="13"/>
      <c r="B869" s="13"/>
      <c r="C869" s="21"/>
    </row>
    <row r="870" spans="1:3" ht="12.75" x14ac:dyDescent="0.2">
      <c r="A870" s="13"/>
      <c r="B870" s="13"/>
      <c r="C870" s="21"/>
    </row>
    <row r="871" spans="1:3" ht="12.75" x14ac:dyDescent="0.2">
      <c r="A871" s="13"/>
      <c r="B871" s="13"/>
      <c r="C871" s="21"/>
    </row>
    <row r="872" spans="1:3" ht="12.75" x14ac:dyDescent="0.2">
      <c r="A872" s="13"/>
      <c r="B872" s="13"/>
      <c r="C872" s="21"/>
    </row>
    <row r="873" spans="1:3" ht="12.75" x14ac:dyDescent="0.2">
      <c r="A873" s="13"/>
      <c r="B873" s="13"/>
      <c r="C873" s="21"/>
    </row>
    <row r="874" spans="1:3" ht="12.75" x14ac:dyDescent="0.2">
      <c r="A874" s="13"/>
      <c r="B874" s="13"/>
      <c r="C874" s="21"/>
    </row>
    <row r="875" spans="1:3" ht="12.75" x14ac:dyDescent="0.2">
      <c r="A875" s="13"/>
      <c r="B875" s="13"/>
      <c r="C875" s="21"/>
    </row>
    <row r="876" spans="1:3" ht="12.75" x14ac:dyDescent="0.2">
      <c r="A876" s="13"/>
      <c r="B876" s="13"/>
      <c r="C876" s="21"/>
    </row>
    <row r="877" spans="1:3" ht="12.75" x14ac:dyDescent="0.2">
      <c r="A877" s="13"/>
      <c r="B877" s="13"/>
      <c r="C877" s="21"/>
    </row>
    <row r="878" spans="1:3" ht="12.75" x14ac:dyDescent="0.2">
      <c r="A878" s="13"/>
      <c r="B878" s="13"/>
      <c r="C878" s="21"/>
    </row>
    <row r="879" spans="1:3" ht="12.75" x14ac:dyDescent="0.2">
      <c r="A879" s="13"/>
      <c r="B879" s="13"/>
      <c r="C879" s="21"/>
    </row>
    <row r="880" spans="1:3" ht="12.75" x14ac:dyDescent="0.2">
      <c r="A880" s="13"/>
      <c r="B880" s="13"/>
      <c r="C880" s="21"/>
    </row>
    <row r="881" spans="1:3" ht="12.75" x14ac:dyDescent="0.2">
      <c r="A881" s="13"/>
      <c r="B881" s="13"/>
      <c r="C881" s="21"/>
    </row>
    <row r="882" spans="1:3" ht="12.75" x14ac:dyDescent="0.2">
      <c r="A882" s="13"/>
      <c r="B882" s="13"/>
      <c r="C882" s="21"/>
    </row>
    <row r="883" spans="1:3" ht="12.75" x14ac:dyDescent="0.2">
      <c r="A883" s="13"/>
      <c r="B883" s="13"/>
      <c r="C883" s="21"/>
    </row>
    <row r="884" spans="1:3" ht="12.75" x14ac:dyDescent="0.2">
      <c r="A884" s="13"/>
      <c r="B884" s="13"/>
      <c r="C884" s="21"/>
    </row>
    <row r="885" spans="1:3" ht="12.75" x14ac:dyDescent="0.2">
      <c r="A885" s="13"/>
      <c r="B885" s="13"/>
      <c r="C885" s="21"/>
    </row>
    <row r="886" spans="1:3" ht="12.75" x14ac:dyDescent="0.2">
      <c r="A886" s="13"/>
      <c r="B886" s="13"/>
      <c r="C886" s="21"/>
    </row>
    <row r="887" spans="1:3" ht="12.75" x14ac:dyDescent="0.2">
      <c r="A887" s="13"/>
      <c r="B887" s="13"/>
      <c r="C887" s="21"/>
    </row>
    <row r="888" spans="1:3" ht="12.75" x14ac:dyDescent="0.2">
      <c r="A888" s="13"/>
      <c r="B888" s="13"/>
      <c r="C888" s="21"/>
    </row>
    <row r="889" spans="1:3" ht="12.75" x14ac:dyDescent="0.2">
      <c r="A889" s="13"/>
      <c r="B889" s="13"/>
      <c r="C889" s="21"/>
    </row>
    <row r="890" spans="1:3" ht="12.75" x14ac:dyDescent="0.2">
      <c r="A890" s="13"/>
      <c r="B890" s="13"/>
      <c r="C890" s="21"/>
    </row>
    <row r="891" spans="1:3" ht="12.75" x14ac:dyDescent="0.2">
      <c r="A891" s="13"/>
      <c r="B891" s="13"/>
      <c r="C891" s="21"/>
    </row>
    <row r="892" spans="1:3" ht="12.75" x14ac:dyDescent="0.2">
      <c r="A892" s="13"/>
      <c r="B892" s="13"/>
      <c r="C892" s="21"/>
    </row>
    <row r="893" spans="1:3" ht="12.75" x14ac:dyDescent="0.2">
      <c r="A893" s="13"/>
      <c r="B893" s="13"/>
      <c r="C893" s="21"/>
    </row>
    <row r="894" spans="1:3" ht="12.75" x14ac:dyDescent="0.2">
      <c r="A894" s="13"/>
      <c r="B894" s="13"/>
      <c r="C894" s="21"/>
    </row>
    <row r="895" spans="1:3" ht="12.75" x14ac:dyDescent="0.2">
      <c r="A895" s="13"/>
      <c r="B895" s="13"/>
      <c r="C895" s="21"/>
    </row>
    <row r="896" spans="1:3" ht="12.75" x14ac:dyDescent="0.2">
      <c r="A896" s="13"/>
      <c r="B896" s="13"/>
      <c r="C896" s="21"/>
    </row>
    <row r="897" spans="1:3" ht="12.75" x14ac:dyDescent="0.2">
      <c r="A897" s="13"/>
      <c r="B897" s="13"/>
      <c r="C897" s="21"/>
    </row>
    <row r="898" spans="1:3" ht="12.75" x14ac:dyDescent="0.2">
      <c r="A898" s="13"/>
      <c r="B898" s="13"/>
      <c r="C898" s="21"/>
    </row>
    <row r="899" spans="1:3" ht="12.75" x14ac:dyDescent="0.2">
      <c r="A899" s="13"/>
      <c r="B899" s="13"/>
      <c r="C899" s="21"/>
    </row>
    <row r="900" spans="1:3" ht="12.75" x14ac:dyDescent="0.2">
      <c r="A900" s="13"/>
      <c r="B900" s="13"/>
      <c r="C900" s="21"/>
    </row>
    <row r="901" spans="1:3" ht="12.75" x14ac:dyDescent="0.2">
      <c r="A901" s="13"/>
      <c r="B901" s="13"/>
      <c r="C901" s="21"/>
    </row>
    <row r="902" spans="1:3" ht="12.75" x14ac:dyDescent="0.2">
      <c r="A902" s="13"/>
      <c r="B902" s="13"/>
      <c r="C902" s="21"/>
    </row>
    <row r="903" spans="1:3" ht="12.75" x14ac:dyDescent="0.2">
      <c r="A903" s="13"/>
      <c r="B903" s="13"/>
      <c r="C903" s="21"/>
    </row>
    <row r="904" spans="1:3" ht="12.75" x14ac:dyDescent="0.2">
      <c r="A904" s="13"/>
      <c r="B904" s="13"/>
      <c r="C904" s="21"/>
    </row>
    <row r="905" spans="1:3" ht="12.75" x14ac:dyDescent="0.2">
      <c r="A905" s="13"/>
      <c r="B905" s="13"/>
      <c r="C905" s="21"/>
    </row>
    <row r="906" spans="1:3" ht="12.75" x14ac:dyDescent="0.2">
      <c r="A906" s="13"/>
      <c r="B906" s="13"/>
      <c r="C906" s="21"/>
    </row>
    <row r="907" spans="1:3" ht="12.75" x14ac:dyDescent="0.2">
      <c r="A907" s="13"/>
      <c r="B907" s="13"/>
      <c r="C907" s="21"/>
    </row>
    <row r="908" spans="1:3" ht="12.75" x14ac:dyDescent="0.2">
      <c r="A908" s="13"/>
      <c r="B908" s="13"/>
      <c r="C908" s="21"/>
    </row>
    <row r="909" spans="1:3" ht="12.75" x14ac:dyDescent="0.2">
      <c r="A909" s="13"/>
      <c r="B909" s="13"/>
      <c r="C909" s="21"/>
    </row>
    <row r="910" spans="1:3" ht="12.75" x14ac:dyDescent="0.2">
      <c r="A910" s="13"/>
      <c r="B910" s="13"/>
      <c r="C910" s="21"/>
    </row>
    <row r="911" spans="1:3" ht="12.75" x14ac:dyDescent="0.2">
      <c r="A911" s="13"/>
      <c r="B911" s="13"/>
      <c r="C911" s="21"/>
    </row>
    <row r="912" spans="1:3" ht="12.75" x14ac:dyDescent="0.2">
      <c r="A912" s="13"/>
      <c r="B912" s="13"/>
      <c r="C912" s="21"/>
    </row>
    <row r="913" spans="1:3" ht="12.75" x14ac:dyDescent="0.2">
      <c r="A913" s="13"/>
      <c r="B913" s="13"/>
      <c r="C913" s="21"/>
    </row>
    <row r="914" spans="1:3" ht="12.75" x14ac:dyDescent="0.2">
      <c r="A914" s="13"/>
      <c r="B914" s="13"/>
      <c r="C914" s="21"/>
    </row>
    <row r="915" spans="1:3" ht="12.75" x14ac:dyDescent="0.2">
      <c r="A915" s="13"/>
      <c r="B915" s="13"/>
      <c r="C915" s="21"/>
    </row>
    <row r="916" spans="1:3" ht="12.75" x14ac:dyDescent="0.2">
      <c r="A916" s="13"/>
      <c r="B916" s="13"/>
      <c r="C916" s="21"/>
    </row>
    <row r="917" spans="1:3" ht="12.75" x14ac:dyDescent="0.2">
      <c r="A917" s="13"/>
      <c r="B917" s="13"/>
      <c r="C917" s="21"/>
    </row>
    <row r="918" spans="1:3" ht="12.75" x14ac:dyDescent="0.2">
      <c r="A918" s="13"/>
      <c r="B918" s="13"/>
      <c r="C918" s="21"/>
    </row>
    <row r="919" spans="1:3" ht="12.75" x14ac:dyDescent="0.2">
      <c r="A919" s="13"/>
      <c r="B919" s="13"/>
      <c r="C919" s="21"/>
    </row>
    <row r="920" spans="1:3" ht="12.75" x14ac:dyDescent="0.2">
      <c r="A920" s="13"/>
      <c r="B920" s="13"/>
      <c r="C920" s="21"/>
    </row>
    <row r="921" spans="1:3" ht="12.75" x14ac:dyDescent="0.2">
      <c r="A921" s="13"/>
      <c r="B921" s="13"/>
      <c r="C921" s="21"/>
    </row>
    <row r="922" spans="1:3" ht="12.75" x14ac:dyDescent="0.2">
      <c r="A922" s="13"/>
      <c r="B922" s="13"/>
      <c r="C922" s="21"/>
    </row>
    <row r="923" spans="1:3" ht="12.75" x14ac:dyDescent="0.2">
      <c r="A923" s="13"/>
      <c r="B923" s="13"/>
      <c r="C923" s="21"/>
    </row>
    <row r="924" spans="1:3" ht="12.75" x14ac:dyDescent="0.2">
      <c r="A924" s="13"/>
      <c r="B924" s="13"/>
      <c r="C924" s="21"/>
    </row>
    <row r="925" spans="1:3" ht="12.75" x14ac:dyDescent="0.2">
      <c r="A925" s="13"/>
      <c r="B925" s="13"/>
      <c r="C925" s="21"/>
    </row>
    <row r="926" spans="1:3" ht="12.75" x14ac:dyDescent="0.2">
      <c r="A926" s="13"/>
      <c r="B926" s="13"/>
      <c r="C926" s="21"/>
    </row>
    <row r="927" spans="1:3" ht="12.75" x14ac:dyDescent="0.2">
      <c r="A927" s="13"/>
      <c r="B927" s="13"/>
      <c r="C927" s="21"/>
    </row>
    <row r="928" spans="1:3" ht="12.75" x14ac:dyDescent="0.2">
      <c r="A928" s="13"/>
      <c r="B928" s="13"/>
      <c r="C928" s="21"/>
    </row>
    <row r="929" spans="1:3" ht="12.75" x14ac:dyDescent="0.2">
      <c r="A929" s="13"/>
      <c r="B929" s="13"/>
      <c r="C929" s="21"/>
    </row>
    <row r="930" spans="1:3" ht="12.75" x14ac:dyDescent="0.2">
      <c r="A930" s="13"/>
      <c r="B930" s="13"/>
      <c r="C930" s="21"/>
    </row>
    <row r="931" spans="1:3" ht="12.75" x14ac:dyDescent="0.2">
      <c r="A931" s="13"/>
      <c r="B931" s="13"/>
      <c r="C931" s="21"/>
    </row>
    <row r="932" spans="1:3" ht="12.75" x14ac:dyDescent="0.2">
      <c r="A932" s="13"/>
      <c r="B932" s="13"/>
      <c r="C932" s="21"/>
    </row>
    <row r="933" spans="1:3" ht="12.75" x14ac:dyDescent="0.2">
      <c r="A933" s="13"/>
      <c r="B933" s="13"/>
      <c r="C933" s="21"/>
    </row>
    <row r="934" spans="1:3" ht="12.75" x14ac:dyDescent="0.2">
      <c r="A934" s="13"/>
      <c r="B934" s="13"/>
      <c r="C934" s="21"/>
    </row>
    <row r="935" spans="1:3" ht="12.75" x14ac:dyDescent="0.2">
      <c r="A935" s="13"/>
      <c r="B935" s="13"/>
      <c r="C935" s="21"/>
    </row>
    <row r="936" spans="1:3" ht="12.75" x14ac:dyDescent="0.2">
      <c r="A936" s="13"/>
      <c r="B936" s="13"/>
      <c r="C936" s="21"/>
    </row>
    <row r="937" spans="1:3" ht="12.75" x14ac:dyDescent="0.2">
      <c r="A937" s="13"/>
      <c r="B937" s="13"/>
      <c r="C937" s="21"/>
    </row>
    <row r="938" spans="1:3" ht="12.75" x14ac:dyDescent="0.2">
      <c r="A938" s="13"/>
      <c r="B938" s="13"/>
      <c r="C938" s="21"/>
    </row>
    <row r="939" spans="1:3" ht="12.75" x14ac:dyDescent="0.2">
      <c r="A939" s="13"/>
      <c r="B939" s="13"/>
      <c r="C939" s="21"/>
    </row>
    <row r="940" spans="1:3" ht="12.75" x14ac:dyDescent="0.2">
      <c r="A940" s="13"/>
      <c r="B940" s="13"/>
      <c r="C940" s="21"/>
    </row>
    <row r="941" spans="1:3" ht="12.75" x14ac:dyDescent="0.2">
      <c r="A941" s="13"/>
      <c r="B941" s="13"/>
      <c r="C941" s="21"/>
    </row>
    <row r="942" spans="1:3" ht="12.75" x14ac:dyDescent="0.2">
      <c r="A942" s="13"/>
      <c r="B942" s="13"/>
      <c r="C942" s="21"/>
    </row>
    <row r="943" spans="1:3" ht="12.75" x14ac:dyDescent="0.2">
      <c r="A943" s="13"/>
      <c r="B943" s="13"/>
      <c r="C943" s="21"/>
    </row>
    <row r="944" spans="1:3" ht="12.75" x14ac:dyDescent="0.2">
      <c r="A944" s="13"/>
      <c r="B944" s="13"/>
      <c r="C944" s="21"/>
    </row>
    <row r="945" spans="1:3" ht="12.75" x14ac:dyDescent="0.2">
      <c r="A945" s="13"/>
      <c r="B945" s="13"/>
      <c r="C945" s="21"/>
    </row>
    <row r="946" spans="1:3" ht="12.75" x14ac:dyDescent="0.2">
      <c r="A946" s="13"/>
      <c r="B946" s="13"/>
      <c r="C946" s="21"/>
    </row>
    <row r="947" spans="1:3" ht="12.75" x14ac:dyDescent="0.2">
      <c r="A947" s="13"/>
      <c r="B947" s="13"/>
      <c r="C947" s="21"/>
    </row>
    <row r="948" spans="1:3" ht="12.75" x14ac:dyDescent="0.2">
      <c r="A948" s="13"/>
      <c r="B948" s="13"/>
      <c r="C948" s="21"/>
    </row>
    <row r="949" spans="1:3" ht="12.75" x14ac:dyDescent="0.2">
      <c r="A949" s="13"/>
      <c r="B949" s="13"/>
      <c r="C949" s="21"/>
    </row>
    <row r="950" spans="1:3" ht="12.75" x14ac:dyDescent="0.2">
      <c r="A950" s="13"/>
      <c r="B950" s="13"/>
      <c r="C950" s="21"/>
    </row>
    <row r="951" spans="1:3" ht="12.75" x14ac:dyDescent="0.2">
      <c r="A951" s="13"/>
      <c r="B951" s="13"/>
      <c r="C951" s="21"/>
    </row>
    <row r="952" spans="1:3" ht="12.75" x14ac:dyDescent="0.2">
      <c r="A952" s="13"/>
      <c r="B952" s="13"/>
      <c r="C952" s="21"/>
    </row>
    <row r="953" spans="1:3" ht="12.75" x14ac:dyDescent="0.2">
      <c r="A953" s="13"/>
      <c r="B953" s="13"/>
      <c r="C953" s="21"/>
    </row>
    <row r="954" spans="1:3" ht="12.75" x14ac:dyDescent="0.2">
      <c r="A954" s="13"/>
      <c r="B954" s="13"/>
      <c r="C954" s="21"/>
    </row>
    <row r="955" spans="1:3" ht="12.75" x14ac:dyDescent="0.2">
      <c r="A955" s="13"/>
      <c r="B955" s="13"/>
      <c r="C955" s="21"/>
    </row>
    <row r="956" spans="1:3" ht="12.75" x14ac:dyDescent="0.2">
      <c r="A956" s="13"/>
      <c r="B956" s="13"/>
      <c r="C956" s="21"/>
    </row>
    <row r="957" spans="1:3" ht="12.75" x14ac:dyDescent="0.2">
      <c r="A957" s="13"/>
      <c r="B957" s="13"/>
      <c r="C957" s="21"/>
    </row>
    <row r="958" spans="1:3" ht="12.75" x14ac:dyDescent="0.2">
      <c r="A958" s="13"/>
      <c r="B958" s="13"/>
      <c r="C958" s="21"/>
    </row>
    <row r="959" spans="1:3" ht="12.75" x14ac:dyDescent="0.2">
      <c r="A959" s="13"/>
      <c r="B959" s="13"/>
      <c r="C959" s="21"/>
    </row>
    <row r="960" spans="1:3" ht="12.75" x14ac:dyDescent="0.2">
      <c r="A960" s="13"/>
      <c r="B960" s="13"/>
      <c r="C960" s="21"/>
    </row>
    <row r="961" spans="1:3" ht="12.75" x14ac:dyDescent="0.2">
      <c r="A961" s="13"/>
      <c r="B961" s="13"/>
      <c r="C961" s="21"/>
    </row>
    <row r="962" spans="1:3" ht="12.75" x14ac:dyDescent="0.2">
      <c r="A962" s="13"/>
      <c r="B962" s="13"/>
      <c r="C962" s="21"/>
    </row>
    <row r="963" spans="1:3" ht="12.75" x14ac:dyDescent="0.2">
      <c r="A963" s="13"/>
      <c r="B963" s="13"/>
      <c r="C963" s="21"/>
    </row>
    <row r="964" spans="1:3" ht="12.75" x14ac:dyDescent="0.2">
      <c r="A964" s="13"/>
      <c r="B964" s="13"/>
      <c r="C964" s="21"/>
    </row>
    <row r="965" spans="1:3" ht="12.75" x14ac:dyDescent="0.2">
      <c r="A965" s="13"/>
      <c r="B965" s="13"/>
      <c r="C965" s="21"/>
    </row>
    <row r="966" spans="1:3" ht="12.75" x14ac:dyDescent="0.2">
      <c r="A966" s="13"/>
      <c r="B966" s="13"/>
      <c r="C966" s="21"/>
    </row>
    <row r="967" spans="1:3" ht="12.75" x14ac:dyDescent="0.2">
      <c r="A967" s="13"/>
      <c r="B967" s="13"/>
      <c r="C967" s="21"/>
    </row>
    <row r="968" spans="1:3" ht="12.75" x14ac:dyDescent="0.2">
      <c r="A968" s="13"/>
      <c r="B968" s="13"/>
      <c r="C968" s="21"/>
    </row>
    <row r="969" spans="1:3" ht="12.75" x14ac:dyDescent="0.2">
      <c r="A969" s="13"/>
      <c r="B969" s="13"/>
      <c r="C969" s="21"/>
    </row>
    <row r="970" spans="1:3" ht="12.75" x14ac:dyDescent="0.2">
      <c r="A970" s="13"/>
      <c r="B970" s="13"/>
      <c r="C970" s="21"/>
    </row>
    <row r="971" spans="1:3" ht="12.75" x14ac:dyDescent="0.2">
      <c r="A971" s="13"/>
      <c r="B971" s="13"/>
      <c r="C971" s="21"/>
    </row>
    <row r="972" spans="1:3" ht="12.75" x14ac:dyDescent="0.2">
      <c r="A972" s="13"/>
      <c r="B972" s="13"/>
      <c r="C972" s="21"/>
    </row>
    <row r="973" spans="1:3" ht="12.75" x14ac:dyDescent="0.2">
      <c r="A973" s="13"/>
      <c r="B973" s="13"/>
      <c r="C973" s="21"/>
    </row>
    <row r="974" spans="1:3" ht="12.75" x14ac:dyDescent="0.2">
      <c r="A974" s="13"/>
      <c r="B974" s="13"/>
      <c r="C974" s="21"/>
    </row>
    <row r="975" spans="1:3" ht="12.75" x14ac:dyDescent="0.2">
      <c r="A975" s="13"/>
      <c r="B975" s="13"/>
      <c r="C975" s="21"/>
    </row>
    <row r="976" spans="1:3" ht="12.75" x14ac:dyDescent="0.2">
      <c r="A976" s="13"/>
      <c r="B976" s="13"/>
      <c r="C976" s="21"/>
    </row>
    <row r="977" spans="1:3" ht="12.75" x14ac:dyDescent="0.2">
      <c r="A977" s="13"/>
      <c r="B977" s="13"/>
      <c r="C977" s="21"/>
    </row>
    <row r="978" spans="1:3" ht="12.75" x14ac:dyDescent="0.2">
      <c r="A978" s="13"/>
      <c r="B978" s="13"/>
      <c r="C978" s="21"/>
    </row>
    <row r="979" spans="1:3" ht="12.75" x14ac:dyDescent="0.2">
      <c r="A979" s="13"/>
      <c r="B979" s="13"/>
      <c r="C979" s="21"/>
    </row>
    <row r="980" spans="1:3" ht="12.75" x14ac:dyDescent="0.2">
      <c r="A980" s="13"/>
      <c r="B980" s="13"/>
      <c r="C980" s="21"/>
    </row>
    <row r="981" spans="1:3" ht="12.75" x14ac:dyDescent="0.2">
      <c r="A981" s="13"/>
      <c r="B981" s="13"/>
      <c r="C981" s="21"/>
    </row>
    <row r="982" spans="1:3" ht="12.75" x14ac:dyDescent="0.2">
      <c r="A982" s="13"/>
      <c r="B982" s="13"/>
      <c r="C982" s="21"/>
    </row>
    <row r="983" spans="1:3" ht="12.75" x14ac:dyDescent="0.2">
      <c r="A983" s="13"/>
      <c r="B983" s="13"/>
      <c r="C983" s="21"/>
    </row>
    <row r="984" spans="1:3" ht="12.75" x14ac:dyDescent="0.2">
      <c r="A984" s="13"/>
      <c r="B984" s="13"/>
      <c r="C984" s="21"/>
    </row>
    <row r="985" spans="1:3" ht="12.75" x14ac:dyDescent="0.2">
      <c r="A985" s="13"/>
      <c r="B985" s="13"/>
      <c r="C985" s="21"/>
    </row>
    <row r="986" spans="1:3" ht="12.75" x14ac:dyDescent="0.2">
      <c r="A986" s="13"/>
      <c r="B986" s="13"/>
      <c r="C986" s="21"/>
    </row>
    <row r="987" spans="1:3" ht="12.75" x14ac:dyDescent="0.2">
      <c r="A987" s="13"/>
      <c r="B987" s="13"/>
      <c r="C987" s="21"/>
    </row>
    <row r="988" spans="1:3" ht="12.75" x14ac:dyDescent="0.2">
      <c r="A988" s="13"/>
      <c r="B988" s="13"/>
      <c r="C988" s="21"/>
    </row>
    <row r="989" spans="1:3" ht="12.75" x14ac:dyDescent="0.2">
      <c r="A989" s="13"/>
      <c r="B989" s="13"/>
      <c r="C989" s="21"/>
    </row>
    <row r="990" spans="1:3" ht="12.75" x14ac:dyDescent="0.2">
      <c r="A990" s="13"/>
      <c r="B990" s="13"/>
      <c r="C990" s="21"/>
    </row>
    <row r="991" spans="1:3" ht="12.75" x14ac:dyDescent="0.2">
      <c r="A991" s="13"/>
      <c r="B991" s="13"/>
      <c r="C991" s="21"/>
    </row>
    <row r="992" spans="1:3" ht="12.75" x14ac:dyDescent="0.2">
      <c r="A992" s="13"/>
      <c r="B992" s="13"/>
      <c r="C992" s="21"/>
    </row>
    <row r="993" spans="1:3" ht="12.75" x14ac:dyDescent="0.2">
      <c r="A993" s="13"/>
      <c r="B993" s="13"/>
      <c r="C993" s="21"/>
    </row>
    <row r="994" spans="1:3" ht="12.75" x14ac:dyDescent="0.2">
      <c r="A994" s="13"/>
      <c r="B994" s="13"/>
      <c r="C994" s="21"/>
    </row>
    <row r="995" spans="1:3" ht="12.75" x14ac:dyDescent="0.2">
      <c r="A995" s="13"/>
      <c r="B995" s="13"/>
      <c r="C995" s="21"/>
    </row>
    <row r="996" spans="1:3" ht="12.75" x14ac:dyDescent="0.2">
      <c r="A996" s="13"/>
      <c r="B996" s="13"/>
      <c r="C996" s="21"/>
    </row>
    <row r="997" spans="1:3" ht="12.75" x14ac:dyDescent="0.2">
      <c r="A997" s="13"/>
      <c r="B997" s="13"/>
      <c r="C997" s="21"/>
    </row>
    <row r="998" spans="1:3" ht="12.75" x14ac:dyDescent="0.2">
      <c r="A998" s="13"/>
      <c r="B998" s="13"/>
      <c r="C998" s="21"/>
    </row>
    <row r="999" spans="1:3" ht="12.75" x14ac:dyDescent="0.2">
      <c r="A999" s="13"/>
      <c r="B999" s="13"/>
      <c r="C999" s="21"/>
    </row>
    <row r="1000" spans="1:3" ht="12.75" x14ac:dyDescent="0.2">
      <c r="A1000" s="13"/>
      <c r="B1000" s="13"/>
      <c r="C1000" s="21"/>
    </row>
  </sheetData>
  <mergeCells count="1">
    <mergeCell ref="I1:J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>
      <selection sqref="A1:B1"/>
    </sheetView>
  </sheetViews>
  <sheetFormatPr defaultColWidth="12.5703125" defaultRowHeight="15.75" customHeight="1" x14ac:dyDescent="0.2"/>
  <sheetData>
    <row r="1" spans="1:15" ht="33" customHeight="1" x14ac:dyDescent="0.2">
      <c r="A1" s="35" t="s">
        <v>593</v>
      </c>
      <c r="B1" s="29"/>
      <c r="C1" s="35" t="s">
        <v>594</v>
      </c>
      <c r="D1" s="29"/>
      <c r="E1" s="6" t="s">
        <v>581</v>
      </c>
      <c r="F1" s="22" t="s">
        <v>588</v>
      </c>
      <c r="G1" s="23" t="s">
        <v>592</v>
      </c>
      <c r="H1" s="22" t="s">
        <v>582</v>
      </c>
      <c r="M1" s="22" t="s">
        <v>588</v>
      </c>
      <c r="N1" s="23" t="s">
        <v>592</v>
      </c>
      <c r="O1" s="22" t="s">
        <v>582</v>
      </c>
    </row>
    <row r="2" spans="1:15" ht="12.75" x14ac:dyDescent="0.2">
      <c r="A2" s="12">
        <v>1</v>
      </c>
      <c r="B2" s="5">
        <f t="shared" ref="B2:B11" si="0">NORMDIST(A2, 5.259259259, 6.282106871, FALSE)</f>
        <v>5.0464510427381093E-2</v>
      </c>
      <c r="C2" s="12">
        <v>35</v>
      </c>
      <c r="D2" s="11">
        <f t="shared" ref="D2:D62" si="1">NORMDIST(C2, 65.21299365, 16.08556591, FALSE)</f>
        <v>4.2501328364330689E-3</v>
      </c>
      <c r="E2" s="9">
        <v>80.106809080000005</v>
      </c>
      <c r="F2" s="24" t="s">
        <v>69</v>
      </c>
      <c r="G2" s="2">
        <v>9</v>
      </c>
      <c r="H2" s="9">
        <v>14</v>
      </c>
      <c r="M2" s="24" t="s">
        <v>69</v>
      </c>
      <c r="N2" s="5">
        <v>9</v>
      </c>
      <c r="O2" s="5">
        <f>MEDIAN(H2:H10)</f>
        <v>1</v>
      </c>
    </row>
    <row r="3" spans="1:15" ht="12.75" x14ac:dyDescent="0.2">
      <c r="A3" s="12">
        <v>2</v>
      </c>
      <c r="B3" s="5">
        <f t="shared" si="0"/>
        <v>5.5507945417019935E-2</v>
      </c>
      <c r="C3" s="12">
        <v>36</v>
      </c>
      <c r="D3" s="11">
        <f t="shared" si="1"/>
        <v>4.7673237640161615E-3</v>
      </c>
      <c r="E3" s="9">
        <v>85.276482349999995</v>
      </c>
      <c r="F3" s="8" t="s">
        <v>69</v>
      </c>
      <c r="G3" s="2">
        <v>9</v>
      </c>
      <c r="H3" s="9">
        <v>13</v>
      </c>
      <c r="M3" s="8" t="s">
        <v>55</v>
      </c>
      <c r="N3" s="5">
        <v>13</v>
      </c>
      <c r="O3" s="5">
        <f>MEDIAN(H11:H23)</f>
        <v>4</v>
      </c>
    </row>
    <row r="4" spans="1:15" ht="12.75" x14ac:dyDescent="0.2">
      <c r="A4" s="12">
        <v>3</v>
      </c>
      <c r="B4" s="5">
        <f t="shared" si="0"/>
        <v>5.9527775781236483E-2</v>
      </c>
      <c r="C4" s="12">
        <v>37</v>
      </c>
      <c r="D4" s="11">
        <f t="shared" si="1"/>
        <v>5.3268237581194514E-3</v>
      </c>
      <c r="E4" s="9">
        <v>62.54442075</v>
      </c>
      <c r="F4" s="8" t="s">
        <v>69</v>
      </c>
      <c r="G4" s="2">
        <v>9</v>
      </c>
      <c r="H4" s="9">
        <v>1</v>
      </c>
      <c r="M4" s="24" t="s">
        <v>49</v>
      </c>
      <c r="N4" s="5">
        <v>31</v>
      </c>
      <c r="O4" s="5">
        <f>MEDIAN(H24:H54)</f>
        <v>4</v>
      </c>
    </row>
    <row r="5" spans="1:15" ht="12.75" x14ac:dyDescent="0.2">
      <c r="A5" s="12">
        <v>4</v>
      </c>
      <c r="B5" s="5">
        <f t="shared" si="0"/>
        <v>6.2241431689415441E-2</v>
      </c>
      <c r="C5" s="12">
        <v>38</v>
      </c>
      <c r="D5" s="11">
        <f t="shared" si="1"/>
        <v>5.9290286165743075E-3</v>
      </c>
      <c r="E5" s="9">
        <v>64.927536230000001</v>
      </c>
      <c r="F5" s="8" t="s">
        <v>69</v>
      </c>
      <c r="G5" s="2">
        <v>9</v>
      </c>
      <c r="H5" s="9">
        <v>1</v>
      </c>
      <c r="M5" s="5" t="s">
        <v>90</v>
      </c>
      <c r="N5" s="5">
        <v>16</v>
      </c>
      <c r="O5" s="5">
        <f>MEDIAN(H55:H70)</f>
        <v>0</v>
      </c>
    </row>
    <row r="6" spans="1:15" ht="12.75" x14ac:dyDescent="0.2">
      <c r="A6" s="12">
        <v>5</v>
      </c>
      <c r="B6" s="5">
        <f t="shared" si="0"/>
        <v>6.3450479275301619E-2</v>
      </c>
      <c r="C6" s="12">
        <v>39</v>
      </c>
      <c r="D6" s="11">
        <f t="shared" si="1"/>
        <v>6.5738577531632642E-3</v>
      </c>
      <c r="E6" s="9">
        <v>66.992323799999994</v>
      </c>
      <c r="F6" s="8" t="s">
        <v>69</v>
      </c>
      <c r="G6" s="2">
        <v>9</v>
      </c>
      <c r="H6" s="9">
        <v>7</v>
      </c>
      <c r="M6" s="5" t="s">
        <v>123</v>
      </c>
      <c r="N6" s="5">
        <v>17</v>
      </c>
      <c r="O6" s="5">
        <f>MEDIAN(H71:H87)</f>
        <v>2</v>
      </c>
    </row>
    <row r="7" spans="1:15" ht="12.75" x14ac:dyDescent="0.2">
      <c r="A7" s="12">
        <v>6</v>
      </c>
      <c r="B7" s="5">
        <f t="shared" si="0"/>
        <v>6.3064601375112439E-2</v>
      </c>
      <c r="C7" s="12">
        <v>40</v>
      </c>
      <c r="D7" s="11">
        <f t="shared" si="1"/>
        <v>7.2607017259167369E-3</v>
      </c>
      <c r="E7" s="9">
        <v>47.868361999999998</v>
      </c>
      <c r="F7" s="8" t="s">
        <v>69</v>
      </c>
      <c r="G7" s="2">
        <v>9</v>
      </c>
      <c r="H7" s="9">
        <v>0</v>
      </c>
      <c r="M7" s="5" t="s">
        <v>63</v>
      </c>
      <c r="N7" s="5">
        <v>4</v>
      </c>
      <c r="O7" s="5">
        <f>MEDIAN(H88:H91)</f>
        <v>3</v>
      </c>
    </row>
    <row r="8" spans="1:15" ht="12.75" x14ac:dyDescent="0.2">
      <c r="A8" s="12">
        <v>7</v>
      </c>
      <c r="B8" s="5">
        <f t="shared" si="0"/>
        <v>6.1112748743110096E-2</v>
      </c>
      <c r="C8" s="12">
        <v>41</v>
      </c>
      <c r="D8" s="11">
        <f t="shared" si="1"/>
        <v>7.988374693405775E-3</v>
      </c>
      <c r="E8" s="9">
        <v>52.56570713</v>
      </c>
      <c r="F8" s="8" t="s">
        <v>69</v>
      </c>
      <c r="G8" s="2">
        <v>9</v>
      </c>
      <c r="H8" s="9">
        <v>0</v>
      </c>
      <c r="M8" s="5" t="s">
        <v>34</v>
      </c>
      <c r="N8" s="5">
        <v>6</v>
      </c>
      <c r="O8" s="5">
        <f>MEDIAN(H92:H97)</f>
        <v>9</v>
      </c>
    </row>
    <row r="9" spans="1:15" ht="12.75" x14ac:dyDescent="0.2">
      <c r="A9" s="12">
        <v>8</v>
      </c>
      <c r="B9" s="5">
        <f t="shared" si="0"/>
        <v>5.7739550145951883E-2</v>
      </c>
      <c r="C9" s="12">
        <v>42</v>
      </c>
      <c r="D9" s="11">
        <f t="shared" si="1"/>
        <v>8.7550734903400901E-3</v>
      </c>
      <c r="E9" s="9">
        <v>49.382716049999999</v>
      </c>
      <c r="F9" s="8" t="s">
        <v>69</v>
      </c>
      <c r="G9" s="2">
        <v>9</v>
      </c>
      <c r="H9" s="9">
        <v>0</v>
      </c>
      <c r="M9" s="5" t="s">
        <v>161</v>
      </c>
      <c r="N9" s="5">
        <v>12</v>
      </c>
      <c r="O9" s="5">
        <f>MEDIAN(H98:H109)</f>
        <v>1</v>
      </c>
    </row>
    <row r="10" spans="1:15" ht="12.75" x14ac:dyDescent="0.2">
      <c r="A10" s="12">
        <v>9</v>
      </c>
      <c r="B10" s="5">
        <f t="shared" si="0"/>
        <v>5.3187599376425095E-2</v>
      </c>
      <c r="C10" s="12">
        <v>43</v>
      </c>
      <c r="D10" s="11">
        <f t="shared" si="1"/>
        <v>9.5583450061441436E-3</v>
      </c>
      <c r="E10" s="9">
        <v>63.814358230000003</v>
      </c>
      <c r="F10" s="8" t="s">
        <v>69</v>
      </c>
      <c r="G10" s="2">
        <v>9</v>
      </c>
      <c r="H10" s="9">
        <v>3</v>
      </c>
    </row>
    <row r="11" spans="1:15" ht="12.75" x14ac:dyDescent="0.2">
      <c r="A11" s="12">
        <v>10</v>
      </c>
      <c r="B11" s="5">
        <f t="shared" si="0"/>
        <v>4.7768631192505441E-2</v>
      </c>
      <c r="C11" s="12">
        <v>44</v>
      </c>
      <c r="D11" s="11">
        <f t="shared" si="1"/>
        <v>1.0395063487326453E-2</v>
      </c>
      <c r="E11" s="9">
        <v>66.257668710000004</v>
      </c>
      <c r="F11" s="24" t="s">
        <v>55</v>
      </c>
      <c r="G11" s="2">
        <v>13</v>
      </c>
      <c r="H11" s="9">
        <v>4</v>
      </c>
    </row>
    <row r="12" spans="1:15" ht="12.75" x14ac:dyDescent="0.2">
      <c r="C12" s="12">
        <v>45</v>
      </c>
      <c r="D12" s="11">
        <f t="shared" si="1"/>
        <v>1.1261419263025908E-2</v>
      </c>
      <c r="E12" s="9">
        <v>59.469941820000003</v>
      </c>
      <c r="F12" s="24" t="s">
        <v>55</v>
      </c>
      <c r="G12" s="2">
        <v>13</v>
      </c>
      <c r="H12" s="9">
        <v>1</v>
      </c>
    </row>
    <row r="13" spans="1:15" ht="12.75" x14ac:dyDescent="0.2">
      <c r="C13" s="12">
        <v>46</v>
      </c>
      <c r="D13" s="11">
        <f t="shared" si="1"/>
        <v>1.2152920211785524E-2</v>
      </c>
      <c r="E13" s="9">
        <v>79.908675799999997</v>
      </c>
      <c r="F13" s="8" t="s">
        <v>55</v>
      </c>
      <c r="G13" s="2">
        <v>13</v>
      </c>
      <c r="H13" s="9">
        <v>5</v>
      </c>
    </row>
    <row r="14" spans="1:15" ht="12.75" x14ac:dyDescent="0.2">
      <c r="C14" s="12">
        <v>47</v>
      </c>
      <c r="D14" s="11">
        <f t="shared" si="1"/>
        <v>1.3064407047320885E-2</v>
      </c>
      <c r="E14" s="9">
        <v>47.281323880000002</v>
      </c>
      <c r="F14" s="8" t="s">
        <v>55</v>
      </c>
      <c r="G14" s="2">
        <v>13</v>
      </c>
      <c r="H14" s="9">
        <v>0</v>
      </c>
    </row>
    <row r="15" spans="1:15" ht="12.75" x14ac:dyDescent="0.2">
      <c r="C15" s="12">
        <v>48</v>
      </c>
      <c r="D15" s="11">
        <f t="shared" si="1"/>
        <v>1.3990083205222522E-2</v>
      </c>
      <c r="E15" s="9">
        <v>86.279209109999996</v>
      </c>
      <c r="F15" s="8" t="s">
        <v>55</v>
      </c>
      <c r="G15" s="2">
        <v>13</v>
      </c>
      <c r="H15" s="9">
        <v>8</v>
      </c>
    </row>
    <row r="16" spans="1:15" ht="12.75" x14ac:dyDescent="0.2">
      <c r="C16" s="12">
        <v>49</v>
      </c>
      <c r="D16" s="11">
        <f t="shared" si="1"/>
        <v>1.4923559767083332E-2</v>
      </c>
      <c r="E16" s="9">
        <v>78.096400239999994</v>
      </c>
      <c r="F16" s="8" t="s">
        <v>55</v>
      </c>
      <c r="G16" s="2">
        <v>13</v>
      </c>
      <c r="H16" s="9">
        <v>7</v>
      </c>
    </row>
    <row r="17" spans="3:8" ht="12.75" x14ac:dyDescent="0.2">
      <c r="C17" s="12">
        <v>50</v>
      </c>
      <c r="D17" s="11">
        <f t="shared" si="1"/>
        <v>1.5857915471875126E-2</v>
      </c>
      <c r="E17" s="9">
        <v>81.460674159999996</v>
      </c>
      <c r="F17" s="8" t="s">
        <v>55</v>
      </c>
      <c r="G17" s="2">
        <v>13</v>
      </c>
      <c r="H17" s="9">
        <v>11</v>
      </c>
    </row>
    <row r="18" spans="3:8" ht="12.75" x14ac:dyDescent="0.2">
      <c r="C18" s="12">
        <v>51</v>
      </c>
      <c r="D18" s="11">
        <f t="shared" si="1"/>
        <v>1.6785771447219267E-2</v>
      </c>
      <c r="E18" s="9">
        <v>56.529112490000003</v>
      </c>
      <c r="F18" s="8" t="s">
        <v>55</v>
      </c>
      <c r="G18" s="2">
        <v>13</v>
      </c>
      <c r="H18" s="9">
        <v>0</v>
      </c>
    </row>
    <row r="19" spans="3:8" ht="12.75" x14ac:dyDescent="0.2">
      <c r="C19" s="12">
        <v>52</v>
      </c>
      <c r="D19" s="11">
        <f t="shared" si="1"/>
        <v>1.7699379858227476E-2</v>
      </c>
      <c r="E19" s="9">
        <v>82.603254070000006</v>
      </c>
      <c r="F19" s="8" t="s">
        <v>55</v>
      </c>
      <c r="G19" s="2">
        <v>13</v>
      </c>
      <c r="H19" s="9">
        <v>20</v>
      </c>
    </row>
    <row r="20" spans="3:8" ht="12.75" x14ac:dyDescent="0.2">
      <c r="C20" s="12">
        <v>53</v>
      </c>
      <c r="D20" s="11">
        <f t="shared" si="1"/>
        <v>1.8590725233157659E-2</v>
      </c>
      <c r="E20" s="9">
        <v>51.58264947</v>
      </c>
      <c r="F20" s="8" t="s">
        <v>55</v>
      </c>
      <c r="G20" s="2">
        <v>13</v>
      </c>
      <c r="H20" s="9">
        <v>0</v>
      </c>
    </row>
    <row r="21" spans="3:8" ht="12.75" x14ac:dyDescent="0.2">
      <c r="C21" s="12">
        <v>54</v>
      </c>
      <c r="D21" s="11">
        <f t="shared" si="1"/>
        <v>1.9451636798653485E-2</v>
      </c>
      <c r="E21" s="9">
        <v>59.236165239999998</v>
      </c>
      <c r="F21" s="8" t="s">
        <v>55</v>
      </c>
      <c r="G21" s="2">
        <v>13</v>
      </c>
      <c r="H21" s="9">
        <v>9</v>
      </c>
    </row>
    <row r="22" spans="3:8" ht="12.75" x14ac:dyDescent="0.2">
      <c r="C22" s="12">
        <v>55</v>
      </c>
      <c r="D22" s="11">
        <f t="shared" si="1"/>
        <v>2.0273909758721759E-2</v>
      </c>
      <c r="E22" s="9">
        <v>67.632850239999996</v>
      </c>
      <c r="F22" s="8" t="s">
        <v>55</v>
      </c>
      <c r="G22" s="2">
        <v>13</v>
      </c>
      <c r="H22" s="9">
        <v>4</v>
      </c>
    </row>
    <row r="23" spans="3:8" ht="12.75" x14ac:dyDescent="0.2">
      <c r="C23" s="12">
        <v>56</v>
      </c>
      <c r="D23" s="11">
        <f t="shared" si="1"/>
        <v>2.1049433096582252E-2</v>
      </c>
      <c r="E23" s="9">
        <v>45.454545449999998</v>
      </c>
      <c r="F23" s="8" t="s">
        <v>55</v>
      </c>
      <c r="G23" s="2">
        <v>13</v>
      </c>
      <c r="H23" s="9">
        <v>0</v>
      </c>
    </row>
    <row r="24" spans="3:8" ht="12.75" x14ac:dyDescent="0.2">
      <c r="C24" s="12">
        <v>57</v>
      </c>
      <c r="D24" s="11">
        <f t="shared" si="1"/>
        <v>2.1770321181968855E-2</v>
      </c>
      <c r="E24" s="9">
        <v>42.0131291</v>
      </c>
      <c r="F24" s="24" t="s">
        <v>49</v>
      </c>
      <c r="G24" s="2">
        <v>31</v>
      </c>
      <c r="H24" s="9">
        <v>0</v>
      </c>
    </row>
    <row r="25" spans="3:8" ht="12.75" x14ac:dyDescent="0.2">
      <c r="C25" s="12">
        <v>58</v>
      </c>
      <c r="D25" s="11">
        <f t="shared" si="1"/>
        <v>2.2429046241683851E-2</v>
      </c>
      <c r="E25" s="9">
        <v>91.687041559999997</v>
      </c>
      <c r="F25" s="8" t="s">
        <v>49</v>
      </c>
      <c r="G25" s="2">
        <v>31</v>
      </c>
      <c r="H25" s="9">
        <v>20</v>
      </c>
    </row>
    <row r="26" spans="3:8" ht="12.75" x14ac:dyDescent="0.2">
      <c r="C26" s="12">
        <v>59</v>
      </c>
      <c r="D26" s="11">
        <f t="shared" si="1"/>
        <v>2.3018568609319105E-2</v>
      </c>
      <c r="E26" s="9">
        <v>85.209981740000003</v>
      </c>
      <c r="F26" s="8" t="s">
        <v>49</v>
      </c>
      <c r="G26" s="2">
        <v>31</v>
      </c>
      <c r="H26" s="9">
        <v>15</v>
      </c>
    </row>
    <row r="27" spans="3:8" ht="12.75" x14ac:dyDescent="0.2">
      <c r="C27" s="12">
        <v>60</v>
      </c>
      <c r="D27" s="11">
        <f t="shared" si="1"/>
        <v>2.3532461619389853E-2</v>
      </c>
      <c r="E27" s="9">
        <v>78.091106289999999</v>
      </c>
      <c r="F27" s="8" t="s">
        <v>49</v>
      </c>
      <c r="G27" s="2">
        <v>31</v>
      </c>
      <c r="H27" s="9">
        <v>12</v>
      </c>
    </row>
    <row r="28" spans="3:8" ht="12.75" x14ac:dyDescent="0.2">
      <c r="C28" s="12">
        <v>61</v>
      </c>
      <c r="D28" s="11">
        <f t="shared" si="1"/>
        <v>2.3965028056758143E-2</v>
      </c>
      <c r="E28" s="9">
        <v>88.815789469999999</v>
      </c>
      <c r="F28" s="8" t="s">
        <v>49</v>
      </c>
      <c r="G28" s="2">
        <v>31</v>
      </c>
      <c r="H28" s="9">
        <v>19</v>
      </c>
    </row>
    <row r="29" spans="3:8" ht="12.75" x14ac:dyDescent="0.2">
      <c r="C29" s="12">
        <v>62</v>
      </c>
      <c r="D29" s="11">
        <f t="shared" si="1"/>
        <v>2.4311405215647827E-2</v>
      </c>
      <c r="E29" s="9">
        <v>61.957868650000002</v>
      </c>
      <c r="F29" s="8" t="s">
        <v>49</v>
      </c>
      <c r="G29" s="2">
        <v>31</v>
      </c>
      <c r="H29" s="9">
        <v>0</v>
      </c>
    </row>
    <row r="30" spans="3:8" ht="12.75" x14ac:dyDescent="0.2">
      <c r="C30" s="12">
        <v>63</v>
      </c>
      <c r="D30" s="11">
        <f t="shared" si="1"/>
        <v>2.4567655861499622E-2</v>
      </c>
      <c r="E30" s="9">
        <v>68.812430629999994</v>
      </c>
      <c r="F30" s="8" t="s">
        <v>49</v>
      </c>
      <c r="G30" s="2">
        <v>31</v>
      </c>
      <c r="H30" s="9">
        <v>11</v>
      </c>
    </row>
    <row r="31" spans="3:8" ht="12.75" x14ac:dyDescent="0.2">
      <c r="C31" s="12">
        <v>64</v>
      </c>
      <c r="D31" s="11">
        <f t="shared" si="1"/>
        <v>2.473084271733773E-2</v>
      </c>
      <c r="E31" s="9">
        <v>60.133630289999999</v>
      </c>
      <c r="F31" s="8" t="s">
        <v>49</v>
      </c>
      <c r="G31" s="2">
        <v>31</v>
      </c>
      <c r="H31" s="9">
        <v>0</v>
      </c>
    </row>
    <row r="32" spans="3:8" ht="12.75" x14ac:dyDescent="0.2">
      <c r="C32" s="12">
        <v>65</v>
      </c>
      <c r="D32" s="11">
        <f t="shared" si="1"/>
        <v>2.479908450456516E-2</v>
      </c>
      <c r="E32" s="9">
        <v>60.689655170000002</v>
      </c>
      <c r="F32" s="8" t="s">
        <v>49</v>
      </c>
      <c r="G32" s="2">
        <v>31</v>
      </c>
      <c r="H32" s="9">
        <v>0</v>
      </c>
    </row>
    <row r="33" spans="3:8" ht="12.75" x14ac:dyDescent="0.2">
      <c r="C33" s="12">
        <v>66</v>
      </c>
      <c r="D33" s="11">
        <f t="shared" si="1"/>
        <v>2.477159204325128E-2</v>
      </c>
      <c r="E33" s="9">
        <v>73.215375230000006</v>
      </c>
      <c r="F33" s="8" t="s">
        <v>49</v>
      </c>
      <c r="G33" s="2">
        <v>31</v>
      </c>
      <c r="H33" s="9">
        <v>12</v>
      </c>
    </row>
    <row r="34" spans="3:8" ht="12.75" x14ac:dyDescent="0.2">
      <c r="C34" s="12">
        <v>67</v>
      </c>
      <c r="D34" s="11">
        <f t="shared" si="1"/>
        <v>2.4648683443327102E-2</v>
      </c>
      <c r="E34" s="9">
        <v>81.269841270000001</v>
      </c>
      <c r="F34" s="8" t="s">
        <v>49</v>
      </c>
      <c r="G34" s="2">
        <v>31</v>
      </c>
      <c r="H34" s="9">
        <v>7</v>
      </c>
    </row>
    <row r="35" spans="3:8" ht="12.75" x14ac:dyDescent="0.2">
      <c r="C35" s="12">
        <v>68</v>
      </c>
      <c r="D35" s="11">
        <f t="shared" si="1"/>
        <v>2.4431777977825198E-2</v>
      </c>
      <c r="E35" s="9">
        <v>67.848882040000007</v>
      </c>
      <c r="F35" s="8" t="s">
        <v>49</v>
      </c>
      <c r="G35" s="2">
        <v>31</v>
      </c>
      <c r="H35" s="9">
        <v>5</v>
      </c>
    </row>
    <row r="36" spans="3:8" ht="12.75" x14ac:dyDescent="0.2">
      <c r="C36" s="12">
        <v>69</v>
      </c>
      <c r="D36" s="11">
        <f t="shared" si="1"/>
        <v>2.4123368803153068E-2</v>
      </c>
      <c r="E36" s="9">
        <v>66.408411729999997</v>
      </c>
      <c r="F36" s="8" t="s">
        <v>49</v>
      </c>
      <c r="G36" s="2">
        <v>31</v>
      </c>
      <c r="H36" s="9">
        <v>2</v>
      </c>
    </row>
    <row r="37" spans="3:8" ht="12.75" x14ac:dyDescent="0.2">
      <c r="C37" s="12">
        <v>70</v>
      </c>
      <c r="D37" s="11">
        <f t="shared" si="1"/>
        <v>2.3726975259535273E-2</v>
      </c>
      <c r="E37" s="9">
        <v>76.604554870000001</v>
      </c>
      <c r="F37" s="8" t="s">
        <v>49</v>
      </c>
      <c r="G37" s="2">
        <v>31</v>
      </c>
      <c r="H37" s="9">
        <v>7</v>
      </c>
    </row>
    <row r="38" spans="3:8" ht="12.75" x14ac:dyDescent="0.2">
      <c r="C38" s="12">
        <v>71</v>
      </c>
      <c r="D38" s="11">
        <f t="shared" si="1"/>
        <v>2.3247076027606679E-2</v>
      </c>
      <c r="E38" s="9">
        <v>73.304825899999997</v>
      </c>
      <c r="F38" s="8" t="s">
        <v>49</v>
      </c>
      <c r="G38" s="2">
        <v>31</v>
      </c>
      <c r="H38" s="9">
        <v>9</v>
      </c>
    </row>
    <row r="39" spans="3:8" ht="12.75" x14ac:dyDescent="0.2">
      <c r="C39" s="12">
        <v>72</v>
      </c>
      <c r="D39" s="11">
        <f t="shared" si="1"/>
        <v>2.2689024916157565E-2</v>
      </c>
      <c r="E39" s="9">
        <v>78.911564630000001</v>
      </c>
      <c r="F39" s="8" t="s">
        <v>49</v>
      </c>
      <c r="G39" s="2">
        <v>31</v>
      </c>
      <c r="H39" s="9">
        <v>4</v>
      </c>
    </row>
    <row r="40" spans="3:8" ht="12.75" x14ac:dyDescent="0.2">
      <c r="C40" s="12">
        <v>73</v>
      </c>
      <c r="D40" s="11">
        <f t="shared" si="1"/>
        <v>2.2058951494529865E-2</v>
      </c>
      <c r="E40" s="9">
        <v>73.858114670000006</v>
      </c>
      <c r="F40" s="8" t="s">
        <v>49</v>
      </c>
      <c r="G40" s="2">
        <v>31</v>
      </c>
      <c r="H40" s="9">
        <v>5</v>
      </c>
    </row>
    <row r="41" spans="3:8" ht="12.75" x14ac:dyDescent="0.2">
      <c r="C41" s="12">
        <v>74</v>
      </c>
      <c r="D41" s="11">
        <f t="shared" si="1"/>
        <v>2.1363649146970032E-2</v>
      </c>
      <c r="E41" s="9">
        <v>66.81852696</v>
      </c>
      <c r="F41" s="8" t="s">
        <v>49</v>
      </c>
      <c r="G41" s="2">
        <v>31</v>
      </c>
      <c r="H41" s="9">
        <v>3</v>
      </c>
    </row>
    <row r="42" spans="3:8" ht="12.75" x14ac:dyDescent="0.2">
      <c r="C42" s="12">
        <v>75</v>
      </c>
      <c r="D42" s="11">
        <f t="shared" si="1"/>
        <v>2.061045340426091E-2</v>
      </c>
      <c r="E42" s="9">
        <v>80.499653019999997</v>
      </c>
      <c r="F42" s="8" t="s">
        <v>49</v>
      </c>
      <c r="G42" s="2">
        <v>31</v>
      </c>
      <c r="H42" s="9">
        <v>7</v>
      </c>
    </row>
    <row r="43" spans="3:8" ht="12.75" x14ac:dyDescent="0.2">
      <c r="C43" s="12">
        <v>76</v>
      </c>
      <c r="D43" s="11">
        <f t="shared" si="1"/>
        <v>1.9807113592569751E-2</v>
      </c>
      <c r="E43" s="9">
        <v>69.408740359999996</v>
      </c>
      <c r="F43" s="8" t="s">
        <v>49</v>
      </c>
      <c r="G43" s="2">
        <v>31</v>
      </c>
      <c r="H43" s="9">
        <v>9</v>
      </c>
    </row>
    <row r="44" spans="3:8" ht="12.75" x14ac:dyDescent="0.2">
      <c r="C44" s="12">
        <v>77</v>
      </c>
      <c r="D44" s="11">
        <f t="shared" si="1"/>
        <v>1.8961660926773684E-2</v>
      </c>
      <c r="E44" s="9">
        <v>83.983203360000005</v>
      </c>
      <c r="F44" s="8" t="s">
        <v>49</v>
      </c>
      <c r="G44" s="2">
        <v>31</v>
      </c>
      <c r="H44" s="9">
        <v>9</v>
      </c>
    </row>
    <row r="45" spans="3:8" ht="12.75" x14ac:dyDescent="0.2">
      <c r="C45" s="12">
        <v>78</v>
      </c>
      <c r="D45" s="11">
        <f t="shared" si="1"/>
        <v>1.8082276165459286E-2</v>
      </c>
      <c r="E45" s="9">
        <v>49.474335189999998</v>
      </c>
      <c r="F45" s="8" t="s">
        <v>49</v>
      </c>
      <c r="G45" s="2">
        <v>31</v>
      </c>
      <c r="H45" s="9">
        <v>0</v>
      </c>
    </row>
    <row r="46" spans="3:8" ht="12.75" x14ac:dyDescent="0.2">
      <c r="C46" s="12">
        <v>79</v>
      </c>
      <c r="D46" s="11">
        <f t="shared" si="1"/>
        <v>1.7177159840924622E-2</v>
      </c>
      <c r="E46" s="9">
        <v>52.781740370000001</v>
      </c>
      <c r="F46" s="8" t="s">
        <v>49</v>
      </c>
      <c r="G46" s="2">
        <v>31</v>
      </c>
      <c r="H46" s="9">
        <v>0</v>
      </c>
    </row>
    <row r="47" spans="3:8" ht="12.75" x14ac:dyDescent="0.2">
      <c r="C47" s="12">
        <v>80</v>
      </c>
      <c r="D47" s="11">
        <f t="shared" si="1"/>
        <v>1.6254407886835728E-2</v>
      </c>
      <c r="E47" s="9">
        <v>57.887120119999999</v>
      </c>
      <c r="F47" s="8" t="s">
        <v>49</v>
      </c>
      <c r="G47" s="2">
        <v>31</v>
      </c>
      <c r="H47" s="9">
        <v>8</v>
      </c>
    </row>
    <row r="48" spans="3:8" ht="12.75" x14ac:dyDescent="0.2">
      <c r="C48" s="12">
        <v>81</v>
      </c>
      <c r="D48" s="11">
        <f t="shared" si="1"/>
        <v>1.532189521869644E-2</v>
      </c>
      <c r="E48" s="9">
        <v>44.476327120000001</v>
      </c>
      <c r="F48" s="8" t="s">
        <v>49</v>
      </c>
      <c r="G48" s="2">
        <v>31</v>
      </c>
      <c r="H48" s="9">
        <v>0</v>
      </c>
    </row>
    <row r="49" spans="3:8" ht="12.75" x14ac:dyDescent="0.2">
      <c r="C49" s="12">
        <v>82</v>
      </c>
      <c r="D49" s="11">
        <f t="shared" si="1"/>
        <v>1.4387169490432932E-2</v>
      </c>
      <c r="E49" s="9">
        <v>61.736334409999998</v>
      </c>
      <c r="F49" s="8" t="s">
        <v>49</v>
      </c>
      <c r="G49" s="2">
        <v>31</v>
      </c>
      <c r="H49" s="9">
        <v>4</v>
      </c>
    </row>
    <row r="50" spans="3:8" ht="12.75" x14ac:dyDescent="0.2">
      <c r="C50" s="12">
        <v>83</v>
      </c>
      <c r="D50" s="11">
        <f t="shared" si="1"/>
        <v>1.3457356868461298E-2</v>
      </c>
      <c r="E50" s="9">
        <v>57.239057240000001</v>
      </c>
      <c r="F50" s="8" t="s">
        <v>49</v>
      </c>
      <c r="G50" s="2">
        <v>31</v>
      </c>
      <c r="H50" s="9">
        <v>0</v>
      </c>
    </row>
    <row r="51" spans="3:8" ht="12.75" x14ac:dyDescent="0.2">
      <c r="C51" s="12">
        <v>84</v>
      </c>
      <c r="D51" s="11">
        <f t="shared" si="1"/>
        <v>1.2539081248048645E-2</v>
      </c>
      <c r="E51" s="9">
        <v>51.359516620000001</v>
      </c>
      <c r="F51" s="8" t="s">
        <v>49</v>
      </c>
      <c r="G51" s="2">
        <v>31</v>
      </c>
      <c r="H51" s="9">
        <v>0</v>
      </c>
    </row>
    <row r="52" spans="3:8" ht="12.75" x14ac:dyDescent="0.2">
      <c r="C52" s="12">
        <v>85</v>
      </c>
      <c r="D52" s="11">
        <f t="shared" si="1"/>
        <v>1.1638397901511952E-2</v>
      </c>
      <c r="E52" s="9">
        <v>50.083472450000002</v>
      </c>
      <c r="F52" s="8" t="s">
        <v>49</v>
      </c>
      <c r="G52" s="2">
        <v>31</v>
      </c>
      <c r="H52" s="9">
        <v>0</v>
      </c>
    </row>
    <row r="53" spans="3:8" ht="12.75" x14ac:dyDescent="0.2">
      <c r="C53" s="12">
        <v>86</v>
      </c>
      <c r="D53" s="11">
        <f t="shared" si="1"/>
        <v>1.0760742109526907E-2</v>
      </c>
      <c r="E53" s="9">
        <v>57.18954248</v>
      </c>
      <c r="F53" s="8" t="s">
        <v>49</v>
      </c>
      <c r="G53" s="2">
        <v>31</v>
      </c>
      <c r="H53" s="9">
        <v>0</v>
      </c>
    </row>
    <row r="54" spans="3:8" ht="12.75" x14ac:dyDescent="0.2">
      <c r="C54" s="12">
        <v>87</v>
      </c>
      <c r="D54" s="11">
        <f t="shared" si="1"/>
        <v>9.9108929004027325E-3</v>
      </c>
      <c r="E54" s="9">
        <v>65.420560750000007</v>
      </c>
      <c r="F54" s="8" t="s">
        <v>49</v>
      </c>
      <c r="G54" s="2">
        <v>31</v>
      </c>
      <c r="H54" s="9">
        <v>1</v>
      </c>
    </row>
    <row r="55" spans="3:8" ht="12.75" x14ac:dyDescent="0.2">
      <c r="C55" s="12">
        <v>88</v>
      </c>
      <c r="D55" s="11">
        <f t="shared" si="1"/>
        <v>9.0929516210795664E-3</v>
      </c>
      <c r="E55" s="9">
        <v>76.804915510000001</v>
      </c>
      <c r="F55" s="8" t="s">
        <v>90</v>
      </c>
      <c r="G55" s="2">
        <v>16</v>
      </c>
      <c r="H55" s="9">
        <v>10</v>
      </c>
    </row>
    <row r="56" spans="3:8" ht="12.75" x14ac:dyDescent="0.2">
      <c r="C56" s="12">
        <v>89</v>
      </c>
      <c r="D56" s="11">
        <f t="shared" si="1"/>
        <v>8.3103346994321224E-3</v>
      </c>
      <c r="E56" s="9">
        <v>24.09638554</v>
      </c>
      <c r="F56" s="8" t="s">
        <v>90</v>
      </c>
      <c r="G56" s="2">
        <v>16</v>
      </c>
      <c r="H56" s="9">
        <v>0</v>
      </c>
    </row>
    <row r="57" spans="3:8" ht="12.75" x14ac:dyDescent="0.2">
      <c r="C57" s="12">
        <v>90</v>
      </c>
      <c r="D57" s="11">
        <f t="shared" si="1"/>
        <v>7.5657796396269069E-3</v>
      </c>
      <c r="E57" s="9">
        <v>84.21052632</v>
      </c>
      <c r="F57" s="8" t="s">
        <v>90</v>
      </c>
      <c r="G57" s="2">
        <v>16</v>
      </c>
      <c r="H57" s="9">
        <v>22</v>
      </c>
    </row>
    <row r="58" spans="3:8" ht="12.75" x14ac:dyDescent="0.2">
      <c r="C58" s="12">
        <v>91</v>
      </c>
      <c r="D58" s="11">
        <f t="shared" si="1"/>
        <v>6.8613630277734091E-3</v>
      </c>
      <c r="E58" s="9">
        <v>56.75508945</v>
      </c>
      <c r="F58" s="8" t="s">
        <v>90</v>
      </c>
      <c r="G58" s="2">
        <v>16</v>
      </c>
      <c r="H58" s="9">
        <v>0</v>
      </c>
    </row>
    <row r="59" spans="3:8" ht="12.75" x14ac:dyDescent="0.2">
      <c r="C59" s="12">
        <v>92</v>
      </c>
      <c r="D59" s="11">
        <f t="shared" si="1"/>
        <v>6.1985291184083408E-3</v>
      </c>
      <c r="E59" s="9">
        <v>74.829931970000004</v>
      </c>
      <c r="F59" s="8" t="s">
        <v>90</v>
      </c>
      <c r="G59" s="2">
        <v>16</v>
      </c>
      <c r="H59" s="9">
        <v>10</v>
      </c>
    </row>
    <row r="60" spans="3:8" ht="12.75" x14ac:dyDescent="0.2">
      <c r="C60" s="12">
        <v>93</v>
      </c>
      <c r="D60" s="11">
        <f t="shared" si="1"/>
        <v>5.5781274254380385E-3</v>
      </c>
      <c r="E60" s="9">
        <v>68.610634649999994</v>
      </c>
      <c r="F60" s="8" t="s">
        <v>90</v>
      </c>
      <c r="G60" s="2">
        <v>16</v>
      </c>
      <c r="H60" s="9">
        <v>5</v>
      </c>
    </row>
    <row r="61" spans="3:8" ht="12.75" x14ac:dyDescent="0.2">
      <c r="C61" s="12">
        <v>94</v>
      </c>
      <c r="D61" s="11">
        <f t="shared" si="1"/>
        <v>5.0004576536537212E-3</v>
      </c>
      <c r="E61" s="9">
        <v>77.336197639999995</v>
      </c>
      <c r="F61" s="8" t="s">
        <v>90</v>
      </c>
      <c r="G61" s="2">
        <v>16</v>
      </c>
      <c r="H61" s="9">
        <v>10</v>
      </c>
    </row>
    <row r="62" spans="3:8" ht="12.75" x14ac:dyDescent="0.2">
      <c r="C62" s="12">
        <v>95</v>
      </c>
      <c r="D62" s="11">
        <f t="shared" si="1"/>
        <v>4.4653202763015511E-3</v>
      </c>
      <c r="E62" s="9">
        <v>51.604782880000002</v>
      </c>
      <c r="F62" s="8" t="s">
        <v>90</v>
      </c>
      <c r="G62" s="2">
        <v>16</v>
      </c>
      <c r="H62" s="9">
        <v>0</v>
      </c>
    </row>
    <row r="63" spans="3:8" ht="12.75" x14ac:dyDescent="0.2">
      <c r="E63" s="9">
        <v>56.224899600000001</v>
      </c>
      <c r="F63" s="8" t="s">
        <v>90</v>
      </c>
      <c r="G63" s="2">
        <v>16</v>
      </c>
      <c r="H63" s="9">
        <v>0</v>
      </c>
    </row>
    <row r="64" spans="3:8" ht="12.75" x14ac:dyDescent="0.2">
      <c r="E64" s="9">
        <v>54.193548389999997</v>
      </c>
      <c r="F64" s="8" t="s">
        <v>90</v>
      </c>
      <c r="G64" s="2">
        <v>16</v>
      </c>
      <c r="H64" s="9">
        <v>0</v>
      </c>
    </row>
    <row r="65" spans="5:8" ht="12.75" x14ac:dyDescent="0.2">
      <c r="E65" s="9">
        <v>44.382801659999998</v>
      </c>
      <c r="F65" s="8" t="s">
        <v>90</v>
      </c>
      <c r="G65" s="2">
        <v>16</v>
      </c>
      <c r="H65" s="9">
        <v>0</v>
      </c>
    </row>
    <row r="66" spans="5:8" ht="12.75" x14ac:dyDescent="0.2">
      <c r="E66" s="9">
        <v>56.695992179999998</v>
      </c>
      <c r="F66" s="8" t="s">
        <v>90</v>
      </c>
      <c r="G66" s="2">
        <v>16</v>
      </c>
      <c r="H66" s="9">
        <v>0</v>
      </c>
    </row>
    <row r="67" spans="5:8" ht="12.75" x14ac:dyDescent="0.2">
      <c r="E67" s="9">
        <v>58.189655170000002</v>
      </c>
      <c r="F67" s="8" t="s">
        <v>90</v>
      </c>
      <c r="G67" s="2">
        <v>16</v>
      </c>
      <c r="H67" s="9">
        <v>0</v>
      </c>
    </row>
    <row r="68" spans="5:8" ht="12.75" x14ac:dyDescent="0.2">
      <c r="E68" s="9">
        <v>42.41948154</v>
      </c>
      <c r="F68" s="8" t="s">
        <v>90</v>
      </c>
      <c r="G68" s="2">
        <v>16</v>
      </c>
      <c r="H68" s="9">
        <v>0</v>
      </c>
    </row>
    <row r="69" spans="5:8" ht="12.75" x14ac:dyDescent="0.2">
      <c r="E69" s="9">
        <v>53.264604810000002</v>
      </c>
      <c r="F69" s="8" t="s">
        <v>90</v>
      </c>
      <c r="G69" s="2">
        <v>16</v>
      </c>
      <c r="H69" s="9">
        <v>0</v>
      </c>
    </row>
    <row r="70" spans="5:8" ht="12.75" x14ac:dyDescent="0.2">
      <c r="E70" s="9">
        <v>61.208875290000002</v>
      </c>
      <c r="F70" s="8" t="s">
        <v>90</v>
      </c>
      <c r="G70" s="2">
        <v>16</v>
      </c>
      <c r="H70" s="9">
        <v>8</v>
      </c>
    </row>
    <row r="71" spans="5:8" ht="12.75" x14ac:dyDescent="0.2">
      <c r="E71" s="9">
        <v>74.874010080000005</v>
      </c>
      <c r="F71" s="8" t="s">
        <v>123</v>
      </c>
      <c r="G71" s="2">
        <v>17</v>
      </c>
      <c r="H71" s="9">
        <v>10</v>
      </c>
    </row>
    <row r="72" spans="5:8" ht="12.75" x14ac:dyDescent="0.2">
      <c r="E72" s="9">
        <v>60.150375940000004</v>
      </c>
      <c r="F72" s="8" t="s">
        <v>123</v>
      </c>
      <c r="G72" s="2">
        <v>17</v>
      </c>
      <c r="H72" s="9">
        <v>2</v>
      </c>
    </row>
    <row r="73" spans="5:8" ht="12.75" x14ac:dyDescent="0.2">
      <c r="E73" s="9">
        <v>84.175084179999999</v>
      </c>
      <c r="F73" s="8" t="s">
        <v>123</v>
      </c>
      <c r="G73" s="2">
        <v>17</v>
      </c>
      <c r="H73" s="9">
        <v>11</v>
      </c>
    </row>
    <row r="74" spans="5:8" ht="12.75" x14ac:dyDescent="0.2">
      <c r="E74" s="9">
        <v>72.211476469999994</v>
      </c>
      <c r="F74" s="8" t="s">
        <v>123</v>
      </c>
      <c r="G74" s="2">
        <v>17</v>
      </c>
      <c r="H74" s="9">
        <v>6</v>
      </c>
    </row>
    <row r="75" spans="5:8" ht="12.75" x14ac:dyDescent="0.2">
      <c r="E75" s="9">
        <v>83.135391920000004</v>
      </c>
      <c r="F75" s="8" t="s">
        <v>123</v>
      </c>
      <c r="G75" s="2">
        <v>17</v>
      </c>
      <c r="H75" s="9">
        <v>8</v>
      </c>
    </row>
    <row r="76" spans="5:8" ht="12.75" x14ac:dyDescent="0.2">
      <c r="E76" s="9">
        <v>97.902097900000001</v>
      </c>
      <c r="F76" s="8" t="s">
        <v>123</v>
      </c>
      <c r="G76" s="2">
        <v>17</v>
      </c>
      <c r="H76" s="9">
        <v>17</v>
      </c>
    </row>
    <row r="77" spans="5:8" ht="12.75" x14ac:dyDescent="0.2">
      <c r="E77" s="9">
        <v>76.759061829999993</v>
      </c>
      <c r="F77" s="8" t="s">
        <v>123</v>
      </c>
      <c r="G77" s="2">
        <v>17</v>
      </c>
      <c r="H77" s="9">
        <v>3</v>
      </c>
    </row>
    <row r="78" spans="5:8" ht="12.75" x14ac:dyDescent="0.2">
      <c r="E78" s="9">
        <v>66.181336860000002</v>
      </c>
      <c r="F78" s="8" t="s">
        <v>123</v>
      </c>
      <c r="G78" s="2">
        <v>17</v>
      </c>
      <c r="H78" s="9">
        <v>0</v>
      </c>
    </row>
    <row r="79" spans="5:8" ht="12.75" x14ac:dyDescent="0.2">
      <c r="E79" s="9">
        <v>85.697741750000006</v>
      </c>
      <c r="F79" s="8" t="s">
        <v>123</v>
      </c>
      <c r="G79" s="2">
        <v>17</v>
      </c>
      <c r="H79" s="9">
        <v>25</v>
      </c>
    </row>
    <row r="80" spans="5:8" ht="12.75" x14ac:dyDescent="0.2">
      <c r="E80" s="9">
        <v>78.720787209999997</v>
      </c>
      <c r="F80" s="8" t="s">
        <v>123</v>
      </c>
      <c r="G80" s="2">
        <v>17</v>
      </c>
      <c r="H80" s="9">
        <v>17</v>
      </c>
    </row>
    <row r="81" spans="5:8" ht="12.75" x14ac:dyDescent="0.2">
      <c r="E81" s="9">
        <v>58.927519150000002</v>
      </c>
      <c r="F81" s="8" t="s">
        <v>123</v>
      </c>
      <c r="G81" s="2">
        <v>17</v>
      </c>
      <c r="H81" s="9">
        <v>0</v>
      </c>
    </row>
    <row r="82" spans="5:8" ht="12.75" x14ac:dyDescent="0.2">
      <c r="E82" s="9">
        <v>41.666666669999998</v>
      </c>
      <c r="F82" s="8" t="s">
        <v>123</v>
      </c>
      <c r="G82" s="2">
        <v>17</v>
      </c>
      <c r="H82" s="9">
        <v>0</v>
      </c>
    </row>
    <row r="83" spans="5:8" ht="12.75" x14ac:dyDescent="0.2">
      <c r="E83" s="9">
        <v>38.866396760000001</v>
      </c>
      <c r="F83" s="8" t="s">
        <v>123</v>
      </c>
      <c r="G83" s="2">
        <v>17</v>
      </c>
      <c r="H83" s="9">
        <v>0</v>
      </c>
    </row>
    <row r="84" spans="5:8" ht="12.75" x14ac:dyDescent="0.2">
      <c r="E84" s="9">
        <v>45.454545449999998</v>
      </c>
      <c r="F84" s="8" t="s">
        <v>123</v>
      </c>
      <c r="G84" s="2">
        <v>17</v>
      </c>
      <c r="H84" s="9">
        <v>0</v>
      </c>
    </row>
    <row r="85" spans="5:8" ht="12.75" x14ac:dyDescent="0.2">
      <c r="E85" s="9">
        <v>56.962025320000002</v>
      </c>
      <c r="F85" s="8" t="s">
        <v>123</v>
      </c>
      <c r="G85" s="2">
        <v>17</v>
      </c>
      <c r="H85" s="9">
        <v>1</v>
      </c>
    </row>
    <row r="86" spans="5:8" ht="12.75" x14ac:dyDescent="0.2">
      <c r="E86" s="9">
        <v>49.34464148</v>
      </c>
      <c r="F86" s="8" t="s">
        <v>123</v>
      </c>
      <c r="G86" s="2">
        <v>17</v>
      </c>
      <c r="H86" s="9">
        <v>0</v>
      </c>
    </row>
    <row r="87" spans="5:8" ht="12.75" x14ac:dyDescent="0.2">
      <c r="E87" s="9">
        <v>46.890927619999999</v>
      </c>
      <c r="F87" s="8" t="s">
        <v>123</v>
      </c>
      <c r="G87" s="2">
        <v>17</v>
      </c>
      <c r="H87" s="9">
        <v>0</v>
      </c>
    </row>
    <row r="88" spans="5:8" ht="12.75" x14ac:dyDescent="0.2">
      <c r="E88" s="9">
        <v>90.261282660000006</v>
      </c>
      <c r="F88" s="24" t="s">
        <v>63</v>
      </c>
      <c r="G88" s="2">
        <v>4</v>
      </c>
      <c r="H88" s="9">
        <v>6</v>
      </c>
    </row>
    <row r="89" spans="5:8" ht="12.75" x14ac:dyDescent="0.2">
      <c r="E89" s="9">
        <v>82.417582420000002</v>
      </c>
      <c r="F89" s="8" t="s">
        <v>63</v>
      </c>
      <c r="G89" s="2">
        <v>4</v>
      </c>
      <c r="H89" s="9">
        <v>10</v>
      </c>
    </row>
    <row r="90" spans="5:8" ht="12.75" x14ac:dyDescent="0.2">
      <c r="E90" s="9">
        <v>72.051133059999998</v>
      </c>
      <c r="F90" s="8" t="s">
        <v>63</v>
      </c>
      <c r="G90" s="2">
        <v>4</v>
      </c>
      <c r="H90" s="9">
        <v>0</v>
      </c>
    </row>
    <row r="91" spans="5:8" ht="12.75" x14ac:dyDescent="0.2">
      <c r="E91" s="9">
        <v>55.210489989999999</v>
      </c>
      <c r="F91" s="8" t="s">
        <v>63</v>
      </c>
      <c r="G91" s="2">
        <v>4</v>
      </c>
      <c r="H91" s="9">
        <v>0</v>
      </c>
    </row>
    <row r="92" spans="5:8" ht="12.75" x14ac:dyDescent="0.2">
      <c r="E92" s="9">
        <v>80.106809080000005</v>
      </c>
      <c r="F92" s="24" t="s">
        <v>34</v>
      </c>
      <c r="G92" s="2">
        <v>6</v>
      </c>
      <c r="H92" s="9">
        <v>8</v>
      </c>
    </row>
    <row r="93" spans="5:8" ht="12.75" x14ac:dyDescent="0.2">
      <c r="E93" s="9">
        <v>76.50273224</v>
      </c>
      <c r="F93" s="24" t="s">
        <v>34</v>
      </c>
      <c r="G93" s="2">
        <v>6</v>
      </c>
      <c r="H93" s="9">
        <v>12</v>
      </c>
    </row>
    <row r="94" spans="5:8" ht="12.75" x14ac:dyDescent="0.2">
      <c r="E94" s="9">
        <v>85.04398827</v>
      </c>
      <c r="F94" s="24" t="s">
        <v>34</v>
      </c>
      <c r="G94" s="2">
        <v>6</v>
      </c>
      <c r="H94" s="9">
        <v>9</v>
      </c>
    </row>
    <row r="95" spans="5:8" ht="12.75" x14ac:dyDescent="0.2">
      <c r="E95" s="9">
        <v>82.663605050000001</v>
      </c>
      <c r="F95" s="8" t="s">
        <v>34</v>
      </c>
      <c r="G95" s="2">
        <v>6</v>
      </c>
      <c r="H95" s="9">
        <v>10</v>
      </c>
    </row>
    <row r="96" spans="5:8" ht="12.75" x14ac:dyDescent="0.2">
      <c r="E96" s="9">
        <v>58.769513310000001</v>
      </c>
      <c r="F96" s="8" t="s">
        <v>34</v>
      </c>
      <c r="G96" s="2">
        <v>6</v>
      </c>
      <c r="H96" s="9">
        <v>9</v>
      </c>
    </row>
    <row r="97" spans="5:8" ht="12.75" x14ac:dyDescent="0.2">
      <c r="E97" s="9">
        <v>36.339165549999997</v>
      </c>
      <c r="F97" s="8" t="s">
        <v>34</v>
      </c>
      <c r="G97" s="2">
        <v>6</v>
      </c>
      <c r="H97" s="9">
        <v>0</v>
      </c>
    </row>
    <row r="98" spans="5:8" ht="12.75" x14ac:dyDescent="0.2">
      <c r="E98" s="9">
        <v>75.975359339999997</v>
      </c>
      <c r="F98" s="8" t="s">
        <v>161</v>
      </c>
      <c r="G98" s="2">
        <v>12</v>
      </c>
      <c r="H98" s="9">
        <v>2</v>
      </c>
    </row>
    <row r="99" spans="5:8" ht="12.75" x14ac:dyDescent="0.2">
      <c r="E99" s="9">
        <v>80.40739748</v>
      </c>
      <c r="F99" s="8" t="s">
        <v>161</v>
      </c>
      <c r="G99" s="2">
        <v>12</v>
      </c>
      <c r="H99" s="9">
        <v>11</v>
      </c>
    </row>
    <row r="100" spans="5:8" ht="12.75" x14ac:dyDescent="0.2">
      <c r="E100" s="9">
        <v>104.02476780000001</v>
      </c>
      <c r="F100" s="8" t="s">
        <v>161</v>
      </c>
      <c r="G100" s="2">
        <v>12</v>
      </c>
      <c r="H100" s="9">
        <v>18</v>
      </c>
    </row>
    <row r="101" spans="5:8" ht="12.75" x14ac:dyDescent="0.2">
      <c r="E101" s="9">
        <v>103.6806636</v>
      </c>
      <c r="F101" s="8" t="s">
        <v>161</v>
      </c>
      <c r="G101" s="2">
        <v>12</v>
      </c>
      <c r="H101" s="9">
        <v>24</v>
      </c>
    </row>
    <row r="102" spans="5:8" ht="12.75" x14ac:dyDescent="0.2">
      <c r="E102" s="9">
        <v>68.681318680000004</v>
      </c>
      <c r="F102" s="8" t="s">
        <v>161</v>
      </c>
      <c r="G102" s="2">
        <v>12</v>
      </c>
      <c r="H102" s="9">
        <v>3</v>
      </c>
    </row>
    <row r="103" spans="5:8" ht="12.75" x14ac:dyDescent="0.2">
      <c r="E103" s="9">
        <v>35.27525387</v>
      </c>
      <c r="F103" s="8" t="s">
        <v>161</v>
      </c>
      <c r="G103" s="2">
        <v>12</v>
      </c>
      <c r="H103" s="9">
        <v>0</v>
      </c>
    </row>
    <row r="104" spans="5:8" ht="12.75" x14ac:dyDescent="0.2">
      <c r="E104" s="9">
        <v>47.155304970000003</v>
      </c>
      <c r="F104" s="8" t="s">
        <v>161</v>
      </c>
      <c r="G104" s="2">
        <v>12</v>
      </c>
      <c r="H104" s="9">
        <v>0</v>
      </c>
    </row>
    <row r="105" spans="5:8" ht="12.75" x14ac:dyDescent="0.2">
      <c r="E105" s="9">
        <v>34.822104469999999</v>
      </c>
      <c r="F105" s="8" t="s">
        <v>161</v>
      </c>
      <c r="G105" s="2">
        <v>12</v>
      </c>
      <c r="H105" s="9">
        <v>0</v>
      </c>
    </row>
    <row r="106" spans="5:8" ht="12.75" x14ac:dyDescent="0.2">
      <c r="E106" s="9">
        <v>58.708414869999999</v>
      </c>
      <c r="F106" s="8" t="s">
        <v>161</v>
      </c>
      <c r="G106" s="2">
        <v>12</v>
      </c>
      <c r="H106" s="9">
        <v>4</v>
      </c>
    </row>
    <row r="107" spans="5:8" ht="12.75" x14ac:dyDescent="0.2">
      <c r="E107" s="9">
        <v>46.260601389999998</v>
      </c>
      <c r="F107" s="8" t="s">
        <v>161</v>
      </c>
      <c r="G107" s="2">
        <v>12</v>
      </c>
      <c r="H107" s="9">
        <v>0</v>
      </c>
    </row>
    <row r="108" spans="5:8" ht="12.75" x14ac:dyDescent="0.2">
      <c r="E108" s="9">
        <v>54.945054949999999</v>
      </c>
      <c r="F108" s="8" t="s">
        <v>161</v>
      </c>
      <c r="G108" s="2">
        <v>12</v>
      </c>
      <c r="H108" s="9">
        <v>0</v>
      </c>
    </row>
    <row r="109" spans="5:8" ht="12.75" x14ac:dyDescent="0.2">
      <c r="E109" s="9">
        <v>42.490842489999999</v>
      </c>
      <c r="F109" s="8" t="s">
        <v>161</v>
      </c>
      <c r="G109" s="2">
        <v>12</v>
      </c>
      <c r="H109" s="9">
        <v>0</v>
      </c>
    </row>
    <row r="110" spans="5:8" ht="12.75" x14ac:dyDescent="0.2">
      <c r="G110" s="2"/>
    </row>
    <row r="111" spans="5:8" ht="12.75" x14ac:dyDescent="0.2">
      <c r="G111" s="2"/>
    </row>
    <row r="112" spans="5:8" ht="12.75" x14ac:dyDescent="0.2">
      <c r="G112" s="2"/>
    </row>
    <row r="113" spans="7:7" ht="12.75" x14ac:dyDescent="0.2">
      <c r="G113" s="2"/>
    </row>
    <row r="114" spans="7:7" ht="12.75" x14ac:dyDescent="0.2">
      <c r="G114" s="2"/>
    </row>
    <row r="115" spans="7:7" ht="12.75" x14ac:dyDescent="0.2">
      <c r="G115" s="2"/>
    </row>
    <row r="116" spans="7:7" ht="12.75" x14ac:dyDescent="0.2">
      <c r="G116" s="2"/>
    </row>
    <row r="117" spans="7:7" ht="12.75" x14ac:dyDescent="0.2">
      <c r="G117" s="2"/>
    </row>
    <row r="118" spans="7:7" ht="12.75" x14ac:dyDescent="0.2">
      <c r="G118" s="2"/>
    </row>
    <row r="119" spans="7:7" ht="12.75" x14ac:dyDescent="0.2">
      <c r="G119" s="2"/>
    </row>
    <row r="120" spans="7:7" ht="12.75" x14ac:dyDescent="0.2">
      <c r="G120" s="2"/>
    </row>
    <row r="121" spans="7:7" ht="12.75" x14ac:dyDescent="0.2">
      <c r="G121" s="2"/>
    </row>
    <row r="122" spans="7:7" ht="12.75" x14ac:dyDescent="0.2">
      <c r="G122" s="2"/>
    </row>
    <row r="123" spans="7:7" ht="12.75" x14ac:dyDescent="0.2">
      <c r="G123" s="2"/>
    </row>
    <row r="124" spans="7:7" ht="12.75" x14ac:dyDescent="0.2">
      <c r="G124" s="2"/>
    </row>
    <row r="125" spans="7:7" ht="12.75" x14ac:dyDescent="0.2">
      <c r="G125" s="2"/>
    </row>
    <row r="126" spans="7:7" ht="12.75" x14ac:dyDescent="0.2">
      <c r="G126" s="2"/>
    </row>
    <row r="127" spans="7:7" ht="12.75" x14ac:dyDescent="0.2">
      <c r="G127" s="2"/>
    </row>
    <row r="128" spans="7:7" ht="12.75" x14ac:dyDescent="0.2">
      <c r="G128" s="2"/>
    </row>
    <row r="129" spans="7:7" ht="12.75" x14ac:dyDescent="0.2">
      <c r="G129" s="2"/>
    </row>
    <row r="130" spans="7:7" ht="12.75" x14ac:dyDescent="0.2">
      <c r="G130" s="2"/>
    </row>
    <row r="131" spans="7:7" ht="12.75" x14ac:dyDescent="0.2">
      <c r="G131" s="2"/>
    </row>
    <row r="132" spans="7:7" ht="12.75" x14ac:dyDescent="0.2">
      <c r="G132" s="2"/>
    </row>
    <row r="133" spans="7:7" ht="12.75" x14ac:dyDescent="0.2">
      <c r="G133" s="2"/>
    </row>
    <row r="134" spans="7:7" ht="12.75" x14ac:dyDescent="0.2">
      <c r="G134" s="2"/>
    </row>
    <row r="135" spans="7:7" ht="12.75" x14ac:dyDescent="0.2">
      <c r="G135" s="2"/>
    </row>
    <row r="136" spans="7:7" ht="12.75" x14ac:dyDescent="0.2">
      <c r="G136" s="2"/>
    </row>
    <row r="137" spans="7:7" ht="12.75" x14ac:dyDescent="0.2">
      <c r="G137" s="2"/>
    </row>
    <row r="138" spans="7:7" ht="12.75" x14ac:dyDescent="0.2">
      <c r="G138" s="2"/>
    </row>
    <row r="139" spans="7:7" ht="12.75" x14ac:dyDescent="0.2">
      <c r="G139" s="2"/>
    </row>
    <row r="140" spans="7:7" ht="12.75" x14ac:dyDescent="0.2">
      <c r="G140" s="2"/>
    </row>
    <row r="141" spans="7:7" ht="12.75" x14ac:dyDescent="0.2">
      <c r="G141" s="2"/>
    </row>
    <row r="142" spans="7:7" ht="12.75" x14ac:dyDescent="0.2">
      <c r="G142" s="2"/>
    </row>
    <row r="143" spans="7:7" ht="12.75" x14ac:dyDescent="0.2">
      <c r="G143" s="2"/>
    </row>
    <row r="144" spans="7:7" ht="12.75" x14ac:dyDescent="0.2">
      <c r="G144" s="2"/>
    </row>
    <row r="145" spans="7:7" ht="12.75" x14ac:dyDescent="0.2">
      <c r="G145" s="2"/>
    </row>
    <row r="146" spans="7:7" ht="12.75" x14ac:dyDescent="0.2">
      <c r="G146" s="2"/>
    </row>
    <row r="147" spans="7:7" ht="12.75" x14ac:dyDescent="0.2">
      <c r="G147" s="2"/>
    </row>
    <row r="148" spans="7:7" ht="12.75" x14ac:dyDescent="0.2">
      <c r="G148" s="2"/>
    </row>
    <row r="149" spans="7:7" ht="12.75" x14ac:dyDescent="0.2">
      <c r="G149" s="2"/>
    </row>
    <row r="150" spans="7:7" ht="12.75" x14ac:dyDescent="0.2">
      <c r="G150" s="2"/>
    </row>
    <row r="151" spans="7:7" ht="12.75" x14ac:dyDescent="0.2">
      <c r="G151" s="2"/>
    </row>
    <row r="152" spans="7:7" ht="12.75" x14ac:dyDescent="0.2">
      <c r="G152" s="2"/>
    </row>
    <row r="153" spans="7:7" ht="12.75" x14ac:dyDescent="0.2">
      <c r="G153" s="2"/>
    </row>
    <row r="154" spans="7:7" ht="12.75" x14ac:dyDescent="0.2">
      <c r="G154" s="2"/>
    </row>
    <row r="155" spans="7:7" ht="12.75" x14ac:dyDescent="0.2">
      <c r="G155" s="2"/>
    </row>
    <row r="156" spans="7:7" ht="12.75" x14ac:dyDescent="0.2">
      <c r="G156" s="2"/>
    </row>
    <row r="157" spans="7:7" ht="12.75" x14ac:dyDescent="0.2">
      <c r="G157" s="2"/>
    </row>
    <row r="158" spans="7:7" ht="12.75" x14ac:dyDescent="0.2">
      <c r="G158" s="2"/>
    </row>
    <row r="159" spans="7:7" ht="12.75" x14ac:dyDescent="0.2">
      <c r="G159" s="2"/>
    </row>
    <row r="160" spans="7:7" ht="12.75" x14ac:dyDescent="0.2">
      <c r="G160" s="2"/>
    </row>
    <row r="161" spans="7:7" ht="12.75" x14ac:dyDescent="0.2">
      <c r="G161" s="2"/>
    </row>
    <row r="162" spans="7:7" ht="12.75" x14ac:dyDescent="0.2">
      <c r="G162" s="2"/>
    </row>
    <row r="163" spans="7:7" ht="12.75" x14ac:dyDescent="0.2">
      <c r="G163" s="2"/>
    </row>
    <row r="164" spans="7:7" ht="12.75" x14ac:dyDescent="0.2">
      <c r="G164" s="2"/>
    </row>
    <row r="165" spans="7:7" ht="12.75" x14ac:dyDescent="0.2">
      <c r="G165" s="2"/>
    </row>
    <row r="166" spans="7:7" ht="12.75" x14ac:dyDescent="0.2">
      <c r="G166" s="2"/>
    </row>
    <row r="167" spans="7:7" ht="12.75" x14ac:dyDescent="0.2">
      <c r="G167" s="2"/>
    </row>
    <row r="168" spans="7:7" ht="12.75" x14ac:dyDescent="0.2">
      <c r="G168" s="2"/>
    </row>
    <row r="169" spans="7:7" ht="12.75" x14ac:dyDescent="0.2">
      <c r="G169" s="2"/>
    </row>
    <row r="170" spans="7:7" ht="12.75" x14ac:dyDescent="0.2">
      <c r="G170" s="2"/>
    </row>
    <row r="171" spans="7:7" ht="12.75" x14ac:dyDescent="0.2">
      <c r="G171" s="2"/>
    </row>
    <row r="172" spans="7:7" ht="12.75" x14ac:dyDescent="0.2">
      <c r="G172" s="2"/>
    </row>
    <row r="173" spans="7:7" ht="12.75" x14ac:dyDescent="0.2">
      <c r="G173" s="2"/>
    </row>
    <row r="174" spans="7:7" ht="12.75" x14ac:dyDescent="0.2">
      <c r="G174" s="2"/>
    </row>
    <row r="175" spans="7:7" ht="12.75" x14ac:dyDescent="0.2">
      <c r="G175" s="2"/>
    </row>
    <row r="176" spans="7:7" ht="12.75" x14ac:dyDescent="0.2">
      <c r="G176" s="2"/>
    </row>
    <row r="177" spans="7:7" ht="12.75" x14ac:dyDescent="0.2">
      <c r="G177" s="2"/>
    </row>
    <row r="178" spans="7:7" ht="12.75" x14ac:dyDescent="0.2">
      <c r="G178" s="2"/>
    </row>
    <row r="179" spans="7:7" ht="12.75" x14ac:dyDescent="0.2">
      <c r="G179" s="2"/>
    </row>
    <row r="180" spans="7:7" ht="12.75" x14ac:dyDescent="0.2">
      <c r="G180" s="2"/>
    </row>
    <row r="181" spans="7:7" ht="12.75" x14ac:dyDescent="0.2">
      <c r="G181" s="2"/>
    </row>
    <row r="182" spans="7:7" ht="12.75" x14ac:dyDescent="0.2">
      <c r="G182" s="2"/>
    </row>
    <row r="183" spans="7:7" ht="12.75" x14ac:dyDescent="0.2">
      <c r="G183" s="2"/>
    </row>
    <row r="184" spans="7:7" ht="12.75" x14ac:dyDescent="0.2">
      <c r="G184" s="2"/>
    </row>
    <row r="185" spans="7:7" ht="12.75" x14ac:dyDescent="0.2">
      <c r="G185" s="2"/>
    </row>
    <row r="186" spans="7:7" ht="12.75" x14ac:dyDescent="0.2">
      <c r="G186" s="2"/>
    </row>
    <row r="187" spans="7:7" ht="12.75" x14ac:dyDescent="0.2">
      <c r="G187" s="2"/>
    </row>
    <row r="188" spans="7:7" ht="12.75" x14ac:dyDescent="0.2">
      <c r="G188" s="2"/>
    </row>
    <row r="189" spans="7:7" ht="12.75" x14ac:dyDescent="0.2">
      <c r="G189" s="2"/>
    </row>
    <row r="190" spans="7:7" ht="12.75" x14ac:dyDescent="0.2">
      <c r="G190" s="2"/>
    </row>
    <row r="191" spans="7:7" ht="12.75" x14ac:dyDescent="0.2">
      <c r="G191" s="2"/>
    </row>
    <row r="192" spans="7:7" ht="12.75" x14ac:dyDescent="0.2">
      <c r="G192" s="2"/>
    </row>
    <row r="193" spans="7:7" ht="12.75" x14ac:dyDescent="0.2">
      <c r="G193" s="2"/>
    </row>
    <row r="194" spans="7:7" ht="12.75" x14ac:dyDescent="0.2">
      <c r="G194" s="2"/>
    </row>
    <row r="195" spans="7:7" ht="12.75" x14ac:dyDescent="0.2">
      <c r="G195" s="2"/>
    </row>
    <row r="196" spans="7:7" ht="12.75" x14ac:dyDescent="0.2">
      <c r="G196" s="2"/>
    </row>
    <row r="197" spans="7:7" ht="12.75" x14ac:dyDescent="0.2">
      <c r="G197" s="2"/>
    </row>
    <row r="198" spans="7:7" ht="12.75" x14ac:dyDescent="0.2">
      <c r="G198" s="2"/>
    </row>
    <row r="199" spans="7:7" ht="12.75" x14ac:dyDescent="0.2">
      <c r="G199" s="2"/>
    </row>
    <row r="200" spans="7:7" ht="12.75" x14ac:dyDescent="0.2">
      <c r="G200" s="2"/>
    </row>
    <row r="201" spans="7:7" ht="12.75" x14ac:dyDescent="0.2">
      <c r="G201" s="2"/>
    </row>
    <row r="202" spans="7:7" ht="12.75" x14ac:dyDescent="0.2">
      <c r="G202" s="2"/>
    </row>
    <row r="203" spans="7:7" ht="12.75" x14ac:dyDescent="0.2">
      <c r="G203" s="2"/>
    </row>
    <row r="204" spans="7:7" ht="12.75" x14ac:dyDescent="0.2">
      <c r="G204" s="2"/>
    </row>
    <row r="205" spans="7:7" ht="12.75" x14ac:dyDescent="0.2">
      <c r="G205" s="2"/>
    </row>
    <row r="206" spans="7:7" ht="12.75" x14ac:dyDescent="0.2">
      <c r="G206" s="2"/>
    </row>
    <row r="207" spans="7:7" ht="12.75" x14ac:dyDescent="0.2">
      <c r="G207" s="2"/>
    </row>
    <row r="208" spans="7:7" ht="12.75" x14ac:dyDescent="0.2">
      <c r="G208" s="2"/>
    </row>
    <row r="209" spans="7:7" ht="12.75" x14ac:dyDescent="0.2">
      <c r="G209" s="2"/>
    </row>
    <row r="210" spans="7:7" ht="12.75" x14ac:dyDescent="0.2">
      <c r="G210" s="2"/>
    </row>
    <row r="211" spans="7:7" ht="12.75" x14ac:dyDescent="0.2">
      <c r="G211" s="2"/>
    </row>
    <row r="212" spans="7:7" ht="12.75" x14ac:dyDescent="0.2">
      <c r="G212" s="2"/>
    </row>
    <row r="213" spans="7:7" ht="12.75" x14ac:dyDescent="0.2">
      <c r="G213" s="2"/>
    </row>
    <row r="214" spans="7:7" ht="12.75" x14ac:dyDescent="0.2">
      <c r="G214" s="2"/>
    </row>
    <row r="215" spans="7:7" ht="12.75" x14ac:dyDescent="0.2">
      <c r="G215" s="2"/>
    </row>
    <row r="216" spans="7:7" ht="12.75" x14ac:dyDescent="0.2">
      <c r="G216" s="2"/>
    </row>
    <row r="217" spans="7:7" ht="12.75" x14ac:dyDescent="0.2">
      <c r="G217" s="2"/>
    </row>
    <row r="218" spans="7:7" ht="12.75" x14ac:dyDescent="0.2">
      <c r="G218" s="2"/>
    </row>
    <row r="219" spans="7:7" ht="12.75" x14ac:dyDescent="0.2">
      <c r="G219" s="2"/>
    </row>
    <row r="220" spans="7:7" ht="12.75" x14ac:dyDescent="0.2">
      <c r="G220" s="2"/>
    </row>
    <row r="221" spans="7:7" ht="12.75" x14ac:dyDescent="0.2">
      <c r="G221" s="2"/>
    </row>
    <row r="222" spans="7:7" ht="12.75" x14ac:dyDescent="0.2">
      <c r="G222" s="2"/>
    </row>
    <row r="223" spans="7:7" ht="12.75" x14ac:dyDescent="0.2">
      <c r="G223" s="2"/>
    </row>
    <row r="224" spans="7:7" ht="12.75" x14ac:dyDescent="0.2">
      <c r="G224" s="2"/>
    </row>
    <row r="225" spans="7:7" ht="12.75" x14ac:dyDescent="0.2">
      <c r="G225" s="2"/>
    </row>
    <row r="226" spans="7:7" ht="12.75" x14ac:dyDescent="0.2">
      <c r="G226" s="2"/>
    </row>
    <row r="227" spans="7:7" ht="12.75" x14ac:dyDescent="0.2">
      <c r="G227" s="2"/>
    </row>
    <row r="228" spans="7:7" ht="12.75" x14ac:dyDescent="0.2">
      <c r="G228" s="2"/>
    </row>
    <row r="229" spans="7:7" ht="12.75" x14ac:dyDescent="0.2">
      <c r="G229" s="2"/>
    </row>
    <row r="230" spans="7:7" ht="12.75" x14ac:dyDescent="0.2">
      <c r="G230" s="2"/>
    </row>
    <row r="231" spans="7:7" ht="12.75" x14ac:dyDescent="0.2">
      <c r="G231" s="2"/>
    </row>
    <row r="232" spans="7:7" ht="12.75" x14ac:dyDescent="0.2">
      <c r="G232" s="2"/>
    </row>
    <row r="233" spans="7:7" ht="12.75" x14ac:dyDescent="0.2">
      <c r="G233" s="2"/>
    </row>
    <row r="234" spans="7:7" ht="12.75" x14ac:dyDescent="0.2">
      <c r="G234" s="2"/>
    </row>
    <row r="235" spans="7:7" ht="12.75" x14ac:dyDescent="0.2">
      <c r="G235" s="2"/>
    </row>
    <row r="236" spans="7:7" ht="12.75" x14ac:dyDescent="0.2">
      <c r="G236" s="2"/>
    </row>
    <row r="237" spans="7:7" ht="12.75" x14ac:dyDescent="0.2">
      <c r="G237" s="2"/>
    </row>
    <row r="238" spans="7:7" ht="12.75" x14ac:dyDescent="0.2">
      <c r="G238" s="2"/>
    </row>
    <row r="239" spans="7:7" ht="12.75" x14ac:dyDescent="0.2">
      <c r="G239" s="2"/>
    </row>
    <row r="240" spans="7:7" ht="12.75" x14ac:dyDescent="0.2">
      <c r="G240" s="2"/>
    </row>
    <row r="241" spans="7:7" ht="12.75" x14ac:dyDescent="0.2">
      <c r="G241" s="2"/>
    </row>
    <row r="242" spans="7:7" ht="12.75" x14ac:dyDescent="0.2">
      <c r="G242" s="2"/>
    </row>
    <row r="243" spans="7:7" ht="12.75" x14ac:dyDescent="0.2">
      <c r="G243" s="2"/>
    </row>
    <row r="244" spans="7:7" ht="12.75" x14ac:dyDescent="0.2">
      <c r="G244" s="2"/>
    </row>
    <row r="245" spans="7:7" ht="12.75" x14ac:dyDescent="0.2">
      <c r="G245" s="2"/>
    </row>
    <row r="246" spans="7:7" ht="12.75" x14ac:dyDescent="0.2">
      <c r="G246" s="2"/>
    </row>
    <row r="247" spans="7:7" ht="12.75" x14ac:dyDescent="0.2">
      <c r="G247" s="2"/>
    </row>
    <row r="248" spans="7:7" ht="12.75" x14ac:dyDescent="0.2">
      <c r="G248" s="2"/>
    </row>
    <row r="249" spans="7:7" ht="12.75" x14ac:dyDescent="0.2">
      <c r="G249" s="2"/>
    </row>
    <row r="250" spans="7:7" ht="12.75" x14ac:dyDescent="0.2">
      <c r="G250" s="2"/>
    </row>
    <row r="251" spans="7:7" ht="12.75" x14ac:dyDescent="0.2">
      <c r="G251" s="2"/>
    </row>
    <row r="252" spans="7:7" ht="12.75" x14ac:dyDescent="0.2">
      <c r="G252" s="2"/>
    </row>
    <row r="253" spans="7:7" ht="12.75" x14ac:dyDescent="0.2">
      <c r="G253" s="2"/>
    </row>
    <row r="254" spans="7:7" ht="12.75" x14ac:dyDescent="0.2">
      <c r="G254" s="2"/>
    </row>
    <row r="255" spans="7:7" ht="12.75" x14ac:dyDescent="0.2">
      <c r="G255" s="2"/>
    </row>
    <row r="256" spans="7:7" ht="12.75" x14ac:dyDescent="0.2">
      <c r="G256" s="2"/>
    </row>
    <row r="257" spans="7:7" ht="12.75" x14ac:dyDescent="0.2">
      <c r="G257" s="2"/>
    </row>
    <row r="258" spans="7:7" ht="12.75" x14ac:dyDescent="0.2">
      <c r="G258" s="2"/>
    </row>
    <row r="259" spans="7:7" ht="12.75" x14ac:dyDescent="0.2">
      <c r="G259" s="2"/>
    </row>
    <row r="260" spans="7:7" ht="12.75" x14ac:dyDescent="0.2">
      <c r="G260" s="2"/>
    </row>
    <row r="261" spans="7:7" ht="12.75" x14ac:dyDescent="0.2">
      <c r="G261" s="2"/>
    </row>
    <row r="262" spans="7:7" ht="12.75" x14ac:dyDescent="0.2">
      <c r="G262" s="2"/>
    </row>
    <row r="263" spans="7:7" ht="12.75" x14ac:dyDescent="0.2">
      <c r="G263" s="2"/>
    </row>
    <row r="264" spans="7:7" ht="12.75" x14ac:dyDescent="0.2">
      <c r="G264" s="2"/>
    </row>
    <row r="265" spans="7:7" ht="12.75" x14ac:dyDescent="0.2">
      <c r="G265" s="2"/>
    </row>
    <row r="266" spans="7:7" ht="12.75" x14ac:dyDescent="0.2">
      <c r="G266" s="2"/>
    </row>
    <row r="267" spans="7:7" ht="12.75" x14ac:dyDescent="0.2">
      <c r="G267" s="2"/>
    </row>
    <row r="268" spans="7:7" ht="12.75" x14ac:dyDescent="0.2">
      <c r="G268" s="2"/>
    </row>
    <row r="269" spans="7:7" ht="12.75" x14ac:dyDescent="0.2">
      <c r="G269" s="2"/>
    </row>
    <row r="270" spans="7:7" ht="12.75" x14ac:dyDescent="0.2">
      <c r="G270" s="2"/>
    </row>
    <row r="271" spans="7:7" ht="12.75" x14ac:dyDescent="0.2">
      <c r="G271" s="2"/>
    </row>
    <row r="272" spans="7:7" ht="12.75" x14ac:dyDescent="0.2">
      <c r="G272" s="2"/>
    </row>
    <row r="273" spans="7:7" ht="12.75" x14ac:dyDescent="0.2">
      <c r="G273" s="2"/>
    </row>
    <row r="274" spans="7:7" ht="12.75" x14ac:dyDescent="0.2">
      <c r="G274" s="2"/>
    </row>
    <row r="275" spans="7:7" ht="12.75" x14ac:dyDescent="0.2">
      <c r="G275" s="2"/>
    </row>
    <row r="276" spans="7:7" ht="12.75" x14ac:dyDescent="0.2">
      <c r="G276" s="2"/>
    </row>
    <row r="277" spans="7:7" ht="12.75" x14ac:dyDescent="0.2">
      <c r="G277" s="2"/>
    </row>
    <row r="278" spans="7:7" ht="12.75" x14ac:dyDescent="0.2">
      <c r="G278" s="2"/>
    </row>
    <row r="279" spans="7:7" ht="12.75" x14ac:dyDescent="0.2">
      <c r="G279" s="2"/>
    </row>
    <row r="280" spans="7:7" ht="12.75" x14ac:dyDescent="0.2">
      <c r="G280" s="2"/>
    </row>
    <row r="281" spans="7:7" ht="12.75" x14ac:dyDescent="0.2">
      <c r="G281" s="2"/>
    </row>
    <row r="282" spans="7:7" ht="12.75" x14ac:dyDescent="0.2">
      <c r="G282" s="2"/>
    </row>
    <row r="283" spans="7:7" ht="12.75" x14ac:dyDescent="0.2">
      <c r="G283" s="2"/>
    </row>
    <row r="284" spans="7:7" ht="12.75" x14ac:dyDescent="0.2">
      <c r="G284" s="2"/>
    </row>
    <row r="285" spans="7:7" ht="12.75" x14ac:dyDescent="0.2">
      <c r="G285" s="2"/>
    </row>
    <row r="286" spans="7:7" ht="12.75" x14ac:dyDescent="0.2">
      <c r="G286" s="2"/>
    </row>
    <row r="287" spans="7:7" ht="12.75" x14ac:dyDescent="0.2">
      <c r="G287" s="2"/>
    </row>
    <row r="288" spans="7:7" ht="12.75" x14ac:dyDescent="0.2">
      <c r="G288" s="2"/>
    </row>
    <row r="289" spans="7:7" ht="12.75" x14ac:dyDescent="0.2">
      <c r="G289" s="2"/>
    </row>
    <row r="290" spans="7:7" ht="12.75" x14ac:dyDescent="0.2">
      <c r="G290" s="2"/>
    </row>
    <row r="291" spans="7:7" ht="12.75" x14ac:dyDescent="0.2">
      <c r="G291" s="2"/>
    </row>
    <row r="292" spans="7:7" ht="12.75" x14ac:dyDescent="0.2">
      <c r="G292" s="2"/>
    </row>
    <row r="293" spans="7:7" ht="12.75" x14ac:dyDescent="0.2">
      <c r="G293" s="2"/>
    </row>
    <row r="294" spans="7:7" ht="12.75" x14ac:dyDescent="0.2">
      <c r="G294" s="2"/>
    </row>
    <row r="295" spans="7:7" ht="12.75" x14ac:dyDescent="0.2">
      <c r="G295" s="2"/>
    </row>
    <row r="296" spans="7:7" ht="12.75" x14ac:dyDescent="0.2">
      <c r="G296" s="2"/>
    </row>
    <row r="297" spans="7:7" ht="12.75" x14ac:dyDescent="0.2">
      <c r="G297" s="2"/>
    </row>
    <row r="298" spans="7:7" ht="12.75" x14ac:dyDescent="0.2">
      <c r="G298" s="2"/>
    </row>
    <row r="299" spans="7:7" ht="12.75" x14ac:dyDescent="0.2">
      <c r="G299" s="2"/>
    </row>
    <row r="300" spans="7:7" ht="12.75" x14ac:dyDescent="0.2">
      <c r="G300" s="2"/>
    </row>
    <row r="301" spans="7:7" ht="12.75" x14ac:dyDescent="0.2">
      <c r="G301" s="2"/>
    </row>
    <row r="302" spans="7:7" ht="12.75" x14ac:dyDescent="0.2">
      <c r="G302" s="2"/>
    </row>
    <row r="303" spans="7:7" ht="12.75" x14ac:dyDescent="0.2">
      <c r="G303" s="2"/>
    </row>
    <row r="304" spans="7:7" ht="12.75" x14ac:dyDescent="0.2">
      <c r="G304" s="2"/>
    </row>
    <row r="305" spans="7:7" ht="12.75" x14ac:dyDescent="0.2">
      <c r="G305" s="2"/>
    </row>
    <row r="306" spans="7:7" ht="12.75" x14ac:dyDescent="0.2">
      <c r="G306" s="2"/>
    </row>
    <row r="307" spans="7:7" ht="12.75" x14ac:dyDescent="0.2">
      <c r="G307" s="2"/>
    </row>
    <row r="308" spans="7:7" ht="12.75" x14ac:dyDescent="0.2">
      <c r="G308" s="2"/>
    </row>
    <row r="309" spans="7:7" ht="12.75" x14ac:dyDescent="0.2">
      <c r="G309" s="2"/>
    </row>
    <row r="310" spans="7:7" ht="12.75" x14ac:dyDescent="0.2">
      <c r="G310" s="2"/>
    </row>
    <row r="311" spans="7:7" ht="12.75" x14ac:dyDescent="0.2">
      <c r="G311" s="2"/>
    </row>
    <row r="312" spans="7:7" ht="12.75" x14ac:dyDescent="0.2">
      <c r="G312" s="2"/>
    </row>
    <row r="313" spans="7:7" ht="12.75" x14ac:dyDescent="0.2">
      <c r="G313" s="2"/>
    </row>
    <row r="314" spans="7:7" ht="12.75" x14ac:dyDescent="0.2">
      <c r="G314" s="2"/>
    </row>
    <row r="315" spans="7:7" ht="12.75" x14ac:dyDescent="0.2">
      <c r="G315" s="2"/>
    </row>
    <row r="316" spans="7:7" ht="12.75" x14ac:dyDescent="0.2">
      <c r="G316" s="2"/>
    </row>
    <row r="317" spans="7:7" ht="12.75" x14ac:dyDescent="0.2">
      <c r="G317" s="2"/>
    </row>
    <row r="318" spans="7:7" ht="12.75" x14ac:dyDescent="0.2">
      <c r="G318" s="2"/>
    </row>
    <row r="319" spans="7:7" ht="12.75" x14ac:dyDescent="0.2">
      <c r="G319" s="2"/>
    </row>
    <row r="320" spans="7:7" ht="12.75" x14ac:dyDescent="0.2">
      <c r="G320" s="2"/>
    </row>
    <row r="321" spans="7:7" ht="12.75" x14ac:dyDescent="0.2">
      <c r="G321" s="2"/>
    </row>
    <row r="322" spans="7:7" ht="12.75" x14ac:dyDescent="0.2">
      <c r="G322" s="2"/>
    </row>
    <row r="323" spans="7:7" ht="12.75" x14ac:dyDescent="0.2">
      <c r="G323" s="2"/>
    </row>
    <row r="324" spans="7:7" ht="12.75" x14ac:dyDescent="0.2">
      <c r="G324" s="2"/>
    </row>
    <row r="325" spans="7:7" ht="12.75" x14ac:dyDescent="0.2">
      <c r="G325" s="2"/>
    </row>
    <row r="326" spans="7:7" ht="12.75" x14ac:dyDescent="0.2">
      <c r="G326" s="2"/>
    </row>
    <row r="327" spans="7:7" ht="12.75" x14ac:dyDescent="0.2">
      <c r="G327" s="2"/>
    </row>
    <row r="328" spans="7:7" ht="12.75" x14ac:dyDescent="0.2">
      <c r="G328" s="2"/>
    </row>
    <row r="329" spans="7:7" ht="12.75" x14ac:dyDescent="0.2">
      <c r="G329" s="2"/>
    </row>
    <row r="330" spans="7:7" ht="12.75" x14ac:dyDescent="0.2">
      <c r="G330" s="2"/>
    </row>
    <row r="331" spans="7:7" ht="12.75" x14ac:dyDescent="0.2">
      <c r="G331" s="2"/>
    </row>
    <row r="332" spans="7:7" ht="12.75" x14ac:dyDescent="0.2">
      <c r="G332" s="2"/>
    </row>
    <row r="333" spans="7:7" ht="12.75" x14ac:dyDescent="0.2">
      <c r="G333" s="2"/>
    </row>
    <row r="334" spans="7:7" ht="12.75" x14ac:dyDescent="0.2">
      <c r="G334" s="2"/>
    </row>
    <row r="335" spans="7:7" ht="12.75" x14ac:dyDescent="0.2">
      <c r="G335" s="2"/>
    </row>
    <row r="336" spans="7:7" ht="12.75" x14ac:dyDescent="0.2">
      <c r="G336" s="2"/>
    </row>
    <row r="337" spans="7:7" ht="12.75" x14ac:dyDescent="0.2">
      <c r="G337" s="2"/>
    </row>
    <row r="338" spans="7:7" ht="12.75" x14ac:dyDescent="0.2">
      <c r="G338" s="2"/>
    </row>
    <row r="339" spans="7:7" ht="12.75" x14ac:dyDescent="0.2">
      <c r="G339" s="2"/>
    </row>
    <row r="340" spans="7:7" ht="12.75" x14ac:dyDescent="0.2">
      <c r="G340" s="2"/>
    </row>
    <row r="341" spans="7:7" ht="12.75" x14ac:dyDescent="0.2">
      <c r="G341" s="2"/>
    </row>
    <row r="342" spans="7:7" ht="12.75" x14ac:dyDescent="0.2">
      <c r="G342" s="2"/>
    </row>
    <row r="343" spans="7:7" ht="12.75" x14ac:dyDescent="0.2">
      <c r="G343" s="2"/>
    </row>
    <row r="344" spans="7:7" ht="12.75" x14ac:dyDescent="0.2">
      <c r="G344" s="2"/>
    </row>
    <row r="345" spans="7:7" ht="12.75" x14ac:dyDescent="0.2">
      <c r="G345" s="2"/>
    </row>
    <row r="346" spans="7:7" ht="12.75" x14ac:dyDescent="0.2">
      <c r="G346" s="2"/>
    </row>
    <row r="347" spans="7:7" ht="12.75" x14ac:dyDescent="0.2">
      <c r="G347" s="2"/>
    </row>
    <row r="348" spans="7:7" ht="12.75" x14ac:dyDescent="0.2">
      <c r="G348" s="2"/>
    </row>
    <row r="349" spans="7:7" ht="12.75" x14ac:dyDescent="0.2">
      <c r="G349" s="2"/>
    </row>
    <row r="350" spans="7:7" ht="12.75" x14ac:dyDescent="0.2">
      <c r="G350" s="2"/>
    </row>
    <row r="351" spans="7:7" ht="12.75" x14ac:dyDescent="0.2">
      <c r="G351" s="2"/>
    </row>
    <row r="352" spans="7:7" ht="12.75" x14ac:dyDescent="0.2">
      <c r="G352" s="2"/>
    </row>
    <row r="353" spans="7:7" ht="12.75" x14ac:dyDescent="0.2">
      <c r="G353" s="2"/>
    </row>
    <row r="354" spans="7:7" ht="12.75" x14ac:dyDescent="0.2">
      <c r="G354" s="2"/>
    </row>
    <row r="355" spans="7:7" ht="12.75" x14ac:dyDescent="0.2">
      <c r="G355" s="2"/>
    </row>
    <row r="356" spans="7:7" ht="12.75" x14ac:dyDescent="0.2">
      <c r="G356" s="2"/>
    </row>
    <row r="357" spans="7:7" ht="12.75" x14ac:dyDescent="0.2">
      <c r="G357" s="2"/>
    </row>
    <row r="358" spans="7:7" ht="12.75" x14ac:dyDescent="0.2">
      <c r="G358" s="2"/>
    </row>
    <row r="359" spans="7:7" ht="12.75" x14ac:dyDescent="0.2">
      <c r="G359" s="2"/>
    </row>
    <row r="360" spans="7:7" ht="12.75" x14ac:dyDescent="0.2">
      <c r="G360" s="2"/>
    </row>
    <row r="361" spans="7:7" ht="12.75" x14ac:dyDescent="0.2">
      <c r="G361" s="2"/>
    </row>
    <row r="362" spans="7:7" ht="12.75" x14ac:dyDescent="0.2">
      <c r="G362" s="2"/>
    </row>
    <row r="363" spans="7:7" ht="12.75" x14ac:dyDescent="0.2">
      <c r="G363" s="2"/>
    </row>
    <row r="364" spans="7:7" ht="12.75" x14ac:dyDescent="0.2">
      <c r="G364" s="2"/>
    </row>
    <row r="365" spans="7:7" ht="12.75" x14ac:dyDescent="0.2">
      <c r="G365" s="2"/>
    </row>
    <row r="366" spans="7:7" ht="12.75" x14ac:dyDescent="0.2">
      <c r="G366" s="2"/>
    </row>
    <row r="367" spans="7:7" ht="12.75" x14ac:dyDescent="0.2">
      <c r="G367" s="2"/>
    </row>
    <row r="368" spans="7:7" ht="12.75" x14ac:dyDescent="0.2">
      <c r="G368" s="2"/>
    </row>
    <row r="369" spans="7:7" ht="12.75" x14ac:dyDescent="0.2">
      <c r="G369" s="2"/>
    </row>
    <row r="370" spans="7:7" ht="12.75" x14ac:dyDescent="0.2">
      <c r="G370" s="2"/>
    </row>
    <row r="371" spans="7:7" ht="12.75" x14ac:dyDescent="0.2">
      <c r="G371" s="2"/>
    </row>
    <row r="372" spans="7:7" ht="12.75" x14ac:dyDescent="0.2">
      <c r="G372" s="2"/>
    </row>
    <row r="373" spans="7:7" ht="12.75" x14ac:dyDescent="0.2">
      <c r="G373" s="2"/>
    </row>
    <row r="374" spans="7:7" ht="12.75" x14ac:dyDescent="0.2">
      <c r="G374" s="2"/>
    </row>
    <row r="375" spans="7:7" ht="12.75" x14ac:dyDescent="0.2">
      <c r="G375" s="2"/>
    </row>
    <row r="376" spans="7:7" ht="12.75" x14ac:dyDescent="0.2">
      <c r="G376" s="2"/>
    </row>
    <row r="377" spans="7:7" ht="12.75" x14ac:dyDescent="0.2">
      <c r="G377" s="2"/>
    </row>
    <row r="378" spans="7:7" ht="12.75" x14ac:dyDescent="0.2">
      <c r="G378" s="2"/>
    </row>
    <row r="379" spans="7:7" ht="12.75" x14ac:dyDescent="0.2">
      <c r="G379" s="2"/>
    </row>
    <row r="380" spans="7:7" ht="12.75" x14ac:dyDescent="0.2">
      <c r="G380" s="2"/>
    </row>
    <row r="381" spans="7:7" ht="12.75" x14ac:dyDescent="0.2">
      <c r="G381" s="2"/>
    </row>
    <row r="382" spans="7:7" ht="12.75" x14ac:dyDescent="0.2">
      <c r="G382" s="2"/>
    </row>
    <row r="383" spans="7:7" ht="12.75" x14ac:dyDescent="0.2">
      <c r="G383" s="2"/>
    </row>
    <row r="384" spans="7:7" ht="12.75" x14ac:dyDescent="0.2">
      <c r="G384" s="2"/>
    </row>
    <row r="385" spans="7:7" ht="12.75" x14ac:dyDescent="0.2">
      <c r="G385" s="2"/>
    </row>
    <row r="386" spans="7:7" ht="12.75" x14ac:dyDescent="0.2">
      <c r="G386" s="2"/>
    </row>
    <row r="387" spans="7:7" ht="12.75" x14ac:dyDescent="0.2">
      <c r="G387" s="2"/>
    </row>
    <row r="388" spans="7:7" ht="12.75" x14ac:dyDescent="0.2">
      <c r="G388" s="2"/>
    </row>
    <row r="389" spans="7:7" ht="12.75" x14ac:dyDescent="0.2">
      <c r="G389" s="2"/>
    </row>
    <row r="390" spans="7:7" ht="12.75" x14ac:dyDescent="0.2">
      <c r="G390" s="2"/>
    </row>
    <row r="391" spans="7:7" ht="12.75" x14ac:dyDescent="0.2">
      <c r="G391" s="2"/>
    </row>
    <row r="392" spans="7:7" ht="12.75" x14ac:dyDescent="0.2">
      <c r="G392" s="2"/>
    </row>
    <row r="393" spans="7:7" ht="12.75" x14ac:dyDescent="0.2">
      <c r="G393" s="2"/>
    </row>
    <row r="394" spans="7:7" ht="12.75" x14ac:dyDescent="0.2">
      <c r="G394" s="2"/>
    </row>
    <row r="395" spans="7:7" ht="12.75" x14ac:dyDescent="0.2">
      <c r="G395" s="2"/>
    </row>
    <row r="396" spans="7:7" ht="12.75" x14ac:dyDescent="0.2">
      <c r="G396" s="2"/>
    </row>
    <row r="397" spans="7:7" ht="12.75" x14ac:dyDescent="0.2">
      <c r="G397" s="2"/>
    </row>
    <row r="398" spans="7:7" ht="12.75" x14ac:dyDescent="0.2">
      <c r="G398" s="2"/>
    </row>
    <row r="399" spans="7:7" ht="12.75" x14ac:dyDescent="0.2">
      <c r="G399" s="2"/>
    </row>
    <row r="400" spans="7:7" ht="12.75" x14ac:dyDescent="0.2">
      <c r="G400" s="2"/>
    </row>
    <row r="401" spans="7:7" ht="12.75" x14ac:dyDescent="0.2">
      <c r="G401" s="2"/>
    </row>
    <row r="402" spans="7:7" ht="12.75" x14ac:dyDescent="0.2">
      <c r="G402" s="2"/>
    </row>
    <row r="403" spans="7:7" ht="12.75" x14ac:dyDescent="0.2">
      <c r="G403" s="2"/>
    </row>
    <row r="404" spans="7:7" ht="12.75" x14ac:dyDescent="0.2">
      <c r="G404" s="2"/>
    </row>
    <row r="405" spans="7:7" ht="12.75" x14ac:dyDescent="0.2">
      <c r="G405" s="2"/>
    </row>
    <row r="406" spans="7:7" ht="12.75" x14ac:dyDescent="0.2">
      <c r="G406" s="2"/>
    </row>
    <row r="407" spans="7:7" ht="12.75" x14ac:dyDescent="0.2">
      <c r="G407" s="2"/>
    </row>
    <row r="408" spans="7:7" ht="12.75" x14ac:dyDescent="0.2">
      <c r="G408" s="2"/>
    </row>
    <row r="409" spans="7:7" ht="12.75" x14ac:dyDescent="0.2">
      <c r="G409" s="2"/>
    </row>
    <row r="410" spans="7:7" ht="12.75" x14ac:dyDescent="0.2">
      <c r="G410" s="2"/>
    </row>
    <row r="411" spans="7:7" ht="12.75" x14ac:dyDescent="0.2">
      <c r="G411" s="2"/>
    </row>
    <row r="412" spans="7:7" ht="12.75" x14ac:dyDescent="0.2">
      <c r="G412" s="2"/>
    </row>
    <row r="413" spans="7:7" ht="12.75" x14ac:dyDescent="0.2">
      <c r="G413" s="2"/>
    </row>
    <row r="414" spans="7:7" ht="12.75" x14ac:dyDescent="0.2">
      <c r="G414" s="2"/>
    </row>
    <row r="415" spans="7:7" ht="12.75" x14ac:dyDescent="0.2">
      <c r="G415" s="2"/>
    </row>
    <row r="416" spans="7:7" ht="12.75" x14ac:dyDescent="0.2">
      <c r="G416" s="2"/>
    </row>
    <row r="417" spans="7:7" ht="12.75" x14ac:dyDescent="0.2">
      <c r="G417" s="2"/>
    </row>
    <row r="418" spans="7:7" ht="12.75" x14ac:dyDescent="0.2">
      <c r="G418" s="2"/>
    </row>
    <row r="419" spans="7:7" ht="12.75" x14ac:dyDescent="0.2">
      <c r="G419" s="2"/>
    </row>
    <row r="420" spans="7:7" ht="12.75" x14ac:dyDescent="0.2">
      <c r="G420" s="2"/>
    </row>
    <row r="421" spans="7:7" ht="12.75" x14ac:dyDescent="0.2">
      <c r="G421" s="2"/>
    </row>
    <row r="422" spans="7:7" ht="12.75" x14ac:dyDescent="0.2">
      <c r="G422" s="2"/>
    </row>
    <row r="423" spans="7:7" ht="12.75" x14ac:dyDescent="0.2">
      <c r="G423" s="2"/>
    </row>
    <row r="424" spans="7:7" ht="12.75" x14ac:dyDescent="0.2">
      <c r="G424" s="2"/>
    </row>
    <row r="425" spans="7:7" ht="12.75" x14ac:dyDescent="0.2">
      <c r="G425" s="2"/>
    </row>
    <row r="426" spans="7:7" ht="12.75" x14ac:dyDescent="0.2">
      <c r="G426" s="2"/>
    </row>
    <row r="427" spans="7:7" ht="12.75" x14ac:dyDescent="0.2">
      <c r="G427" s="2"/>
    </row>
    <row r="428" spans="7:7" ht="12.75" x14ac:dyDescent="0.2">
      <c r="G428" s="2"/>
    </row>
    <row r="429" spans="7:7" ht="12.75" x14ac:dyDescent="0.2">
      <c r="G429" s="2"/>
    </row>
    <row r="430" spans="7:7" ht="12.75" x14ac:dyDescent="0.2">
      <c r="G430" s="2"/>
    </row>
    <row r="431" spans="7:7" ht="12.75" x14ac:dyDescent="0.2">
      <c r="G431" s="2"/>
    </row>
    <row r="432" spans="7:7" ht="12.75" x14ac:dyDescent="0.2">
      <c r="G432" s="2"/>
    </row>
    <row r="433" spans="7:7" ht="12.75" x14ac:dyDescent="0.2">
      <c r="G433" s="2"/>
    </row>
    <row r="434" spans="7:7" ht="12.75" x14ac:dyDescent="0.2">
      <c r="G434" s="2"/>
    </row>
    <row r="435" spans="7:7" ht="12.75" x14ac:dyDescent="0.2">
      <c r="G435" s="2"/>
    </row>
    <row r="436" spans="7:7" ht="12.75" x14ac:dyDescent="0.2">
      <c r="G436" s="2"/>
    </row>
    <row r="437" spans="7:7" ht="12.75" x14ac:dyDescent="0.2">
      <c r="G437" s="2"/>
    </row>
    <row r="438" spans="7:7" ht="12.75" x14ac:dyDescent="0.2">
      <c r="G438" s="2"/>
    </row>
    <row r="439" spans="7:7" ht="12.75" x14ac:dyDescent="0.2">
      <c r="G439" s="2"/>
    </row>
    <row r="440" spans="7:7" ht="12.75" x14ac:dyDescent="0.2">
      <c r="G440" s="2"/>
    </row>
    <row r="441" spans="7:7" ht="12.75" x14ac:dyDescent="0.2">
      <c r="G441" s="2"/>
    </row>
    <row r="442" spans="7:7" ht="12.75" x14ac:dyDescent="0.2">
      <c r="G442" s="2"/>
    </row>
    <row r="443" spans="7:7" ht="12.75" x14ac:dyDescent="0.2">
      <c r="G443" s="2"/>
    </row>
    <row r="444" spans="7:7" ht="12.75" x14ac:dyDescent="0.2">
      <c r="G444" s="2"/>
    </row>
    <row r="445" spans="7:7" ht="12.75" x14ac:dyDescent="0.2">
      <c r="G445" s="2"/>
    </row>
    <row r="446" spans="7:7" ht="12.75" x14ac:dyDescent="0.2">
      <c r="G446" s="2"/>
    </row>
    <row r="447" spans="7:7" ht="12.75" x14ac:dyDescent="0.2">
      <c r="G447" s="2"/>
    </row>
    <row r="448" spans="7:7" ht="12.75" x14ac:dyDescent="0.2">
      <c r="G448" s="2"/>
    </row>
    <row r="449" spans="7:7" ht="12.75" x14ac:dyDescent="0.2">
      <c r="G449" s="2"/>
    </row>
    <row r="450" spans="7:7" ht="12.75" x14ac:dyDescent="0.2">
      <c r="G450" s="2"/>
    </row>
    <row r="451" spans="7:7" ht="12.75" x14ac:dyDescent="0.2">
      <c r="G451" s="2"/>
    </row>
    <row r="452" spans="7:7" ht="12.75" x14ac:dyDescent="0.2">
      <c r="G452" s="2"/>
    </row>
    <row r="453" spans="7:7" ht="12.75" x14ac:dyDescent="0.2">
      <c r="G453" s="2"/>
    </row>
    <row r="454" spans="7:7" ht="12.75" x14ac:dyDescent="0.2">
      <c r="G454" s="2"/>
    </row>
    <row r="455" spans="7:7" ht="12.75" x14ac:dyDescent="0.2">
      <c r="G455" s="2"/>
    </row>
    <row r="456" spans="7:7" ht="12.75" x14ac:dyDescent="0.2">
      <c r="G456" s="2"/>
    </row>
    <row r="457" spans="7:7" ht="12.75" x14ac:dyDescent="0.2">
      <c r="G457" s="2"/>
    </row>
    <row r="458" spans="7:7" ht="12.75" x14ac:dyDescent="0.2">
      <c r="G458" s="2"/>
    </row>
    <row r="459" spans="7:7" ht="12.75" x14ac:dyDescent="0.2">
      <c r="G459" s="2"/>
    </row>
    <row r="460" spans="7:7" ht="12.75" x14ac:dyDescent="0.2">
      <c r="G460" s="2"/>
    </row>
    <row r="461" spans="7:7" ht="12.75" x14ac:dyDescent="0.2">
      <c r="G461" s="2"/>
    </row>
    <row r="462" spans="7:7" ht="12.75" x14ac:dyDescent="0.2">
      <c r="G462" s="2"/>
    </row>
    <row r="463" spans="7:7" ht="12.75" x14ac:dyDescent="0.2">
      <c r="G463" s="2"/>
    </row>
    <row r="464" spans="7:7" ht="12.75" x14ac:dyDescent="0.2">
      <c r="G464" s="2"/>
    </row>
    <row r="465" spans="7:7" ht="12.75" x14ac:dyDescent="0.2">
      <c r="G465" s="2"/>
    </row>
    <row r="466" spans="7:7" ht="12.75" x14ac:dyDescent="0.2">
      <c r="G466" s="2"/>
    </row>
    <row r="467" spans="7:7" ht="12.75" x14ac:dyDescent="0.2">
      <c r="G467" s="2"/>
    </row>
    <row r="468" spans="7:7" ht="12.75" x14ac:dyDescent="0.2">
      <c r="G468" s="2"/>
    </row>
    <row r="469" spans="7:7" ht="12.75" x14ac:dyDescent="0.2">
      <c r="G469" s="2"/>
    </row>
    <row r="470" spans="7:7" ht="12.75" x14ac:dyDescent="0.2">
      <c r="G470" s="2"/>
    </row>
    <row r="471" spans="7:7" ht="12.75" x14ac:dyDescent="0.2">
      <c r="G471" s="2"/>
    </row>
    <row r="472" spans="7:7" ht="12.75" x14ac:dyDescent="0.2">
      <c r="G472" s="2"/>
    </row>
    <row r="473" spans="7:7" ht="12.75" x14ac:dyDescent="0.2">
      <c r="G473" s="2"/>
    </row>
    <row r="474" spans="7:7" ht="12.75" x14ac:dyDescent="0.2">
      <c r="G474" s="2"/>
    </row>
    <row r="475" spans="7:7" ht="12.75" x14ac:dyDescent="0.2">
      <c r="G475" s="2"/>
    </row>
    <row r="476" spans="7:7" ht="12.75" x14ac:dyDescent="0.2">
      <c r="G476" s="2"/>
    </row>
    <row r="477" spans="7:7" ht="12.75" x14ac:dyDescent="0.2">
      <c r="G477" s="2"/>
    </row>
    <row r="478" spans="7:7" ht="12.75" x14ac:dyDescent="0.2">
      <c r="G478" s="2"/>
    </row>
    <row r="479" spans="7:7" ht="12.75" x14ac:dyDescent="0.2">
      <c r="G479" s="2"/>
    </row>
    <row r="480" spans="7:7" ht="12.75" x14ac:dyDescent="0.2">
      <c r="G480" s="2"/>
    </row>
    <row r="481" spans="7:7" ht="12.75" x14ac:dyDescent="0.2">
      <c r="G481" s="2"/>
    </row>
    <row r="482" spans="7:7" ht="12.75" x14ac:dyDescent="0.2">
      <c r="G482" s="2"/>
    </row>
    <row r="483" spans="7:7" ht="12.75" x14ac:dyDescent="0.2">
      <c r="G483" s="2"/>
    </row>
    <row r="484" spans="7:7" ht="12.75" x14ac:dyDescent="0.2">
      <c r="G484" s="2"/>
    </row>
    <row r="485" spans="7:7" ht="12.75" x14ac:dyDescent="0.2">
      <c r="G485" s="2"/>
    </row>
    <row r="486" spans="7:7" ht="12.75" x14ac:dyDescent="0.2">
      <c r="G486" s="2"/>
    </row>
    <row r="487" spans="7:7" ht="12.75" x14ac:dyDescent="0.2">
      <c r="G487" s="2"/>
    </row>
    <row r="488" spans="7:7" ht="12.75" x14ac:dyDescent="0.2">
      <c r="G488" s="2"/>
    </row>
    <row r="489" spans="7:7" ht="12.75" x14ac:dyDescent="0.2">
      <c r="G489" s="2"/>
    </row>
    <row r="490" spans="7:7" ht="12.75" x14ac:dyDescent="0.2">
      <c r="G490" s="2"/>
    </row>
    <row r="491" spans="7:7" ht="12.75" x14ac:dyDescent="0.2">
      <c r="G491" s="2"/>
    </row>
    <row r="492" spans="7:7" ht="12.75" x14ac:dyDescent="0.2">
      <c r="G492" s="2"/>
    </row>
    <row r="493" spans="7:7" ht="12.75" x14ac:dyDescent="0.2">
      <c r="G493" s="2"/>
    </row>
    <row r="494" spans="7:7" ht="12.75" x14ac:dyDescent="0.2">
      <c r="G494" s="2"/>
    </row>
    <row r="495" spans="7:7" ht="12.75" x14ac:dyDescent="0.2">
      <c r="G495" s="2"/>
    </row>
    <row r="496" spans="7:7" ht="12.75" x14ac:dyDescent="0.2">
      <c r="G496" s="2"/>
    </row>
    <row r="497" spans="7:7" ht="12.75" x14ac:dyDescent="0.2">
      <c r="G497" s="2"/>
    </row>
    <row r="498" spans="7:7" ht="12.75" x14ac:dyDescent="0.2">
      <c r="G498" s="2"/>
    </row>
    <row r="499" spans="7:7" ht="12.75" x14ac:dyDescent="0.2">
      <c r="G499" s="2"/>
    </row>
    <row r="500" spans="7:7" ht="12.75" x14ac:dyDescent="0.2">
      <c r="G500" s="2"/>
    </row>
    <row r="501" spans="7:7" ht="12.75" x14ac:dyDescent="0.2">
      <c r="G501" s="2"/>
    </row>
    <row r="502" spans="7:7" ht="12.75" x14ac:dyDescent="0.2">
      <c r="G502" s="2"/>
    </row>
    <row r="503" spans="7:7" ht="12.75" x14ac:dyDescent="0.2">
      <c r="G503" s="2"/>
    </row>
    <row r="504" spans="7:7" ht="12.75" x14ac:dyDescent="0.2">
      <c r="G504" s="2"/>
    </row>
    <row r="505" spans="7:7" ht="12.75" x14ac:dyDescent="0.2">
      <c r="G505" s="2"/>
    </row>
    <row r="506" spans="7:7" ht="12.75" x14ac:dyDescent="0.2">
      <c r="G506" s="2"/>
    </row>
    <row r="507" spans="7:7" ht="12.75" x14ac:dyDescent="0.2">
      <c r="G507" s="2"/>
    </row>
    <row r="508" spans="7:7" ht="12.75" x14ac:dyDescent="0.2">
      <c r="G508" s="2"/>
    </row>
    <row r="509" spans="7:7" ht="12.75" x14ac:dyDescent="0.2">
      <c r="G509" s="2"/>
    </row>
    <row r="510" spans="7:7" ht="12.75" x14ac:dyDescent="0.2">
      <c r="G510" s="2"/>
    </row>
    <row r="511" spans="7:7" ht="12.75" x14ac:dyDescent="0.2">
      <c r="G511" s="2"/>
    </row>
    <row r="512" spans="7:7" ht="12.75" x14ac:dyDescent="0.2">
      <c r="G512" s="2"/>
    </row>
    <row r="513" spans="7:7" ht="12.75" x14ac:dyDescent="0.2">
      <c r="G513" s="2"/>
    </row>
    <row r="514" spans="7:7" ht="12.75" x14ac:dyDescent="0.2">
      <c r="G514" s="2"/>
    </row>
    <row r="515" spans="7:7" ht="12.75" x14ac:dyDescent="0.2">
      <c r="G515" s="2"/>
    </row>
    <row r="516" spans="7:7" ht="12.75" x14ac:dyDescent="0.2">
      <c r="G516" s="2"/>
    </row>
    <row r="517" spans="7:7" ht="12.75" x14ac:dyDescent="0.2">
      <c r="G517" s="2"/>
    </row>
    <row r="518" spans="7:7" ht="12.75" x14ac:dyDescent="0.2">
      <c r="G518" s="2"/>
    </row>
    <row r="519" spans="7:7" ht="12.75" x14ac:dyDescent="0.2">
      <c r="G519" s="2"/>
    </row>
    <row r="520" spans="7:7" ht="12.75" x14ac:dyDescent="0.2">
      <c r="G520" s="2"/>
    </row>
    <row r="521" spans="7:7" ht="12.75" x14ac:dyDescent="0.2">
      <c r="G521" s="2"/>
    </row>
    <row r="522" spans="7:7" ht="12.75" x14ac:dyDescent="0.2">
      <c r="G522" s="2"/>
    </row>
    <row r="523" spans="7:7" ht="12.75" x14ac:dyDescent="0.2">
      <c r="G523" s="2"/>
    </row>
    <row r="524" spans="7:7" ht="12.75" x14ac:dyDescent="0.2">
      <c r="G524" s="2"/>
    </row>
    <row r="525" spans="7:7" ht="12.75" x14ac:dyDescent="0.2">
      <c r="G525" s="2"/>
    </row>
    <row r="526" spans="7:7" ht="12.75" x14ac:dyDescent="0.2">
      <c r="G526" s="2"/>
    </row>
    <row r="527" spans="7:7" ht="12.75" x14ac:dyDescent="0.2">
      <c r="G527" s="2"/>
    </row>
    <row r="528" spans="7:7" ht="12.75" x14ac:dyDescent="0.2">
      <c r="G528" s="2"/>
    </row>
    <row r="529" spans="7:7" ht="12.75" x14ac:dyDescent="0.2">
      <c r="G529" s="2"/>
    </row>
    <row r="530" spans="7:7" ht="12.75" x14ac:dyDescent="0.2">
      <c r="G530" s="2"/>
    </row>
    <row r="531" spans="7:7" ht="12.75" x14ac:dyDescent="0.2">
      <c r="G531" s="2"/>
    </row>
    <row r="532" spans="7:7" ht="12.75" x14ac:dyDescent="0.2">
      <c r="G532" s="2"/>
    </row>
    <row r="533" spans="7:7" ht="12.75" x14ac:dyDescent="0.2">
      <c r="G533" s="2"/>
    </row>
    <row r="534" spans="7:7" ht="12.75" x14ac:dyDescent="0.2">
      <c r="G534" s="2"/>
    </row>
    <row r="535" spans="7:7" ht="12.75" x14ac:dyDescent="0.2">
      <c r="G535" s="2"/>
    </row>
    <row r="536" spans="7:7" ht="12.75" x14ac:dyDescent="0.2">
      <c r="G536" s="2"/>
    </row>
    <row r="537" spans="7:7" ht="12.75" x14ac:dyDescent="0.2">
      <c r="G537" s="2"/>
    </row>
    <row r="538" spans="7:7" ht="12.75" x14ac:dyDescent="0.2">
      <c r="G538" s="2"/>
    </row>
    <row r="539" spans="7:7" ht="12.75" x14ac:dyDescent="0.2">
      <c r="G539" s="2"/>
    </row>
    <row r="540" spans="7:7" ht="12.75" x14ac:dyDescent="0.2">
      <c r="G540" s="2"/>
    </row>
    <row r="541" spans="7:7" ht="12.75" x14ac:dyDescent="0.2">
      <c r="G541" s="2"/>
    </row>
    <row r="542" spans="7:7" ht="12.75" x14ac:dyDescent="0.2">
      <c r="G542" s="2"/>
    </row>
    <row r="543" spans="7:7" ht="12.75" x14ac:dyDescent="0.2">
      <c r="G543" s="2"/>
    </row>
    <row r="544" spans="7:7" ht="12.75" x14ac:dyDescent="0.2">
      <c r="G544" s="2"/>
    </row>
    <row r="545" spans="7:7" ht="12.75" x14ac:dyDescent="0.2">
      <c r="G545" s="2"/>
    </row>
    <row r="546" spans="7:7" ht="12.75" x14ac:dyDescent="0.2">
      <c r="G546" s="2"/>
    </row>
    <row r="547" spans="7:7" ht="12.75" x14ac:dyDescent="0.2">
      <c r="G547" s="2"/>
    </row>
    <row r="548" spans="7:7" ht="12.75" x14ac:dyDescent="0.2">
      <c r="G548" s="2"/>
    </row>
    <row r="549" spans="7:7" ht="12.75" x14ac:dyDescent="0.2">
      <c r="G549" s="2"/>
    </row>
    <row r="550" spans="7:7" ht="12.75" x14ac:dyDescent="0.2">
      <c r="G550" s="2"/>
    </row>
    <row r="551" spans="7:7" ht="12.75" x14ac:dyDescent="0.2">
      <c r="G551" s="2"/>
    </row>
    <row r="552" spans="7:7" ht="12.75" x14ac:dyDescent="0.2">
      <c r="G552" s="2"/>
    </row>
    <row r="553" spans="7:7" ht="12.75" x14ac:dyDescent="0.2">
      <c r="G553" s="2"/>
    </row>
    <row r="554" spans="7:7" ht="12.75" x14ac:dyDescent="0.2">
      <c r="G554" s="2"/>
    </row>
    <row r="555" spans="7:7" ht="12.75" x14ac:dyDescent="0.2">
      <c r="G555" s="2"/>
    </row>
    <row r="556" spans="7:7" ht="12.75" x14ac:dyDescent="0.2">
      <c r="G556" s="2"/>
    </row>
    <row r="557" spans="7:7" ht="12.75" x14ac:dyDescent="0.2">
      <c r="G557" s="2"/>
    </row>
    <row r="558" spans="7:7" ht="12.75" x14ac:dyDescent="0.2">
      <c r="G558" s="2"/>
    </row>
    <row r="559" spans="7:7" ht="12.75" x14ac:dyDescent="0.2">
      <c r="G559" s="2"/>
    </row>
    <row r="560" spans="7:7" ht="12.75" x14ac:dyDescent="0.2">
      <c r="G560" s="2"/>
    </row>
    <row r="561" spans="7:7" ht="12.75" x14ac:dyDescent="0.2">
      <c r="G561" s="2"/>
    </row>
    <row r="562" spans="7:7" ht="12.75" x14ac:dyDescent="0.2">
      <c r="G562" s="2"/>
    </row>
    <row r="563" spans="7:7" ht="12.75" x14ac:dyDescent="0.2">
      <c r="G563" s="2"/>
    </row>
    <row r="564" spans="7:7" ht="12.75" x14ac:dyDescent="0.2">
      <c r="G564" s="2"/>
    </row>
    <row r="565" spans="7:7" ht="12.75" x14ac:dyDescent="0.2">
      <c r="G565" s="2"/>
    </row>
    <row r="566" spans="7:7" ht="12.75" x14ac:dyDescent="0.2">
      <c r="G566" s="2"/>
    </row>
    <row r="567" spans="7:7" ht="12.75" x14ac:dyDescent="0.2">
      <c r="G567" s="2"/>
    </row>
    <row r="568" spans="7:7" ht="12.75" x14ac:dyDescent="0.2">
      <c r="G568" s="2"/>
    </row>
    <row r="569" spans="7:7" ht="12.75" x14ac:dyDescent="0.2">
      <c r="G569" s="2"/>
    </row>
    <row r="570" spans="7:7" ht="12.75" x14ac:dyDescent="0.2">
      <c r="G570" s="2"/>
    </row>
    <row r="571" spans="7:7" ht="12.75" x14ac:dyDescent="0.2">
      <c r="G571" s="2"/>
    </row>
    <row r="572" spans="7:7" ht="12.75" x14ac:dyDescent="0.2">
      <c r="G572" s="2"/>
    </row>
    <row r="573" spans="7:7" ht="12.75" x14ac:dyDescent="0.2">
      <c r="G573" s="2"/>
    </row>
    <row r="574" spans="7:7" ht="12.75" x14ac:dyDescent="0.2">
      <c r="G574" s="2"/>
    </row>
    <row r="575" spans="7:7" ht="12.75" x14ac:dyDescent="0.2">
      <c r="G575" s="2"/>
    </row>
    <row r="576" spans="7:7" ht="12.75" x14ac:dyDescent="0.2">
      <c r="G576" s="2"/>
    </row>
    <row r="577" spans="7:7" ht="12.75" x14ac:dyDescent="0.2">
      <c r="G577" s="2"/>
    </row>
    <row r="578" spans="7:7" ht="12.75" x14ac:dyDescent="0.2">
      <c r="G578" s="2"/>
    </row>
    <row r="579" spans="7:7" ht="12.75" x14ac:dyDescent="0.2">
      <c r="G579" s="2"/>
    </row>
    <row r="580" spans="7:7" ht="12.75" x14ac:dyDescent="0.2">
      <c r="G580" s="2"/>
    </row>
    <row r="581" spans="7:7" ht="12.75" x14ac:dyDescent="0.2">
      <c r="G581" s="2"/>
    </row>
    <row r="582" spans="7:7" ht="12.75" x14ac:dyDescent="0.2">
      <c r="G582" s="2"/>
    </row>
    <row r="583" spans="7:7" ht="12.75" x14ac:dyDescent="0.2">
      <c r="G583" s="2"/>
    </row>
    <row r="584" spans="7:7" ht="12.75" x14ac:dyDescent="0.2">
      <c r="G584" s="2"/>
    </row>
    <row r="585" spans="7:7" ht="12.75" x14ac:dyDescent="0.2">
      <c r="G585" s="2"/>
    </row>
    <row r="586" spans="7:7" ht="12.75" x14ac:dyDescent="0.2">
      <c r="G586" s="2"/>
    </row>
    <row r="587" spans="7:7" ht="12.75" x14ac:dyDescent="0.2">
      <c r="G587" s="2"/>
    </row>
    <row r="588" spans="7:7" ht="12.75" x14ac:dyDescent="0.2">
      <c r="G588" s="2"/>
    </row>
    <row r="589" spans="7:7" ht="12.75" x14ac:dyDescent="0.2">
      <c r="G589" s="2"/>
    </row>
    <row r="590" spans="7:7" ht="12.75" x14ac:dyDescent="0.2">
      <c r="G590" s="2"/>
    </row>
    <row r="591" spans="7:7" ht="12.75" x14ac:dyDescent="0.2">
      <c r="G591" s="2"/>
    </row>
    <row r="592" spans="7:7" ht="12.75" x14ac:dyDescent="0.2">
      <c r="G592" s="2"/>
    </row>
    <row r="593" spans="7:7" ht="12.75" x14ac:dyDescent="0.2">
      <c r="G593" s="2"/>
    </row>
    <row r="594" spans="7:7" ht="12.75" x14ac:dyDescent="0.2">
      <c r="G594" s="2"/>
    </row>
    <row r="595" spans="7:7" ht="12.75" x14ac:dyDescent="0.2">
      <c r="G595" s="2"/>
    </row>
    <row r="596" spans="7:7" ht="12.75" x14ac:dyDescent="0.2">
      <c r="G596" s="2"/>
    </row>
    <row r="597" spans="7:7" ht="12.75" x14ac:dyDescent="0.2">
      <c r="G597" s="2"/>
    </row>
    <row r="598" spans="7:7" ht="12.75" x14ac:dyDescent="0.2">
      <c r="G598" s="2"/>
    </row>
    <row r="599" spans="7:7" ht="12.75" x14ac:dyDescent="0.2">
      <c r="G599" s="2"/>
    </row>
    <row r="600" spans="7:7" ht="12.75" x14ac:dyDescent="0.2">
      <c r="G600" s="2"/>
    </row>
    <row r="601" spans="7:7" ht="12.75" x14ac:dyDescent="0.2">
      <c r="G601" s="2"/>
    </row>
    <row r="602" spans="7:7" ht="12.75" x14ac:dyDescent="0.2">
      <c r="G602" s="2"/>
    </row>
    <row r="603" spans="7:7" ht="12.75" x14ac:dyDescent="0.2">
      <c r="G603" s="2"/>
    </row>
    <row r="604" spans="7:7" ht="12.75" x14ac:dyDescent="0.2">
      <c r="G604" s="2"/>
    </row>
    <row r="605" spans="7:7" ht="12.75" x14ac:dyDescent="0.2">
      <c r="G605" s="2"/>
    </row>
    <row r="606" spans="7:7" ht="12.75" x14ac:dyDescent="0.2">
      <c r="G606" s="2"/>
    </row>
    <row r="607" spans="7:7" ht="12.75" x14ac:dyDescent="0.2">
      <c r="G607" s="2"/>
    </row>
    <row r="608" spans="7:7" ht="12.75" x14ac:dyDescent="0.2">
      <c r="G608" s="2"/>
    </row>
    <row r="609" spans="7:7" ht="12.75" x14ac:dyDescent="0.2">
      <c r="G609" s="2"/>
    </row>
    <row r="610" spans="7:7" ht="12.75" x14ac:dyDescent="0.2">
      <c r="G610" s="2"/>
    </row>
    <row r="611" spans="7:7" ht="12.75" x14ac:dyDescent="0.2">
      <c r="G611" s="2"/>
    </row>
    <row r="612" spans="7:7" ht="12.75" x14ac:dyDescent="0.2">
      <c r="G612" s="2"/>
    </row>
    <row r="613" spans="7:7" ht="12.75" x14ac:dyDescent="0.2">
      <c r="G613" s="2"/>
    </row>
    <row r="614" spans="7:7" ht="12.75" x14ac:dyDescent="0.2">
      <c r="G614" s="2"/>
    </row>
    <row r="615" spans="7:7" ht="12.75" x14ac:dyDescent="0.2">
      <c r="G615" s="2"/>
    </row>
    <row r="616" spans="7:7" ht="12.75" x14ac:dyDescent="0.2">
      <c r="G616" s="2"/>
    </row>
    <row r="617" spans="7:7" ht="12.75" x14ac:dyDescent="0.2">
      <c r="G617" s="2"/>
    </row>
    <row r="618" spans="7:7" ht="12.75" x14ac:dyDescent="0.2">
      <c r="G618" s="2"/>
    </row>
    <row r="619" spans="7:7" ht="12.75" x14ac:dyDescent="0.2">
      <c r="G619" s="2"/>
    </row>
    <row r="620" spans="7:7" ht="12.75" x14ac:dyDescent="0.2">
      <c r="G620" s="2"/>
    </row>
    <row r="621" spans="7:7" ht="12.75" x14ac:dyDescent="0.2">
      <c r="G621" s="2"/>
    </row>
    <row r="622" spans="7:7" ht="12.75" x14ac:dyDescent="0.2">
      <c r="G622" s="2"/>
    </row>
    <row r="623" spans="7:7" ht="12.75" x14ac:dyDescent="0.2">
      <c r="G623" s="2"/>
    </row>
    <row r="624" spans="7:7" ht="12.75" x14ac:dyDescent="0.2">
      <c r="G624" s="2"/>
    </row>
    <row r="625" spans="7:7" ht="12.75" x14ac:dyDescent="0.2">
      <c r="G625" s="2"/>
    </row>
    <row r="626" spans="7:7" ht="12.75" x14ac:dyDescent="0.2">
      <c r="G626" s="2"/>
    </row>
    <row r="627" spans="7:7" ht="12.75" x14ac:dyDescent="0.2">
      <c r="G627" s="2"/>
    </row>
    <row r="628" spans="7:7" ht="12.75" x14ac:dyDescent="0.2">
      <c r="G628" s="2"/>
    </row>
    <row r="629" spans="7:7" ht="12.75" x14ac:dyDescent="0.2">
      <c r="G629" s="2"/>
    </row>
    <row r="630" spans="7:7" ht="12.75" x14ac:dyDescent="0.2">
      <c r="G630" s="2"/>
    </row>
    <row r="631" spans="7:7" ht="12.75" x14ac:dyDescent="0.2">
      <c r="G631" s="2"/>
    </row>
    <row r="632" spans="7:7" ht="12.75" x14ac:dyDescent="0.2">
      <c r="G632" s="2"/>
    </row>
    <row r="633" spans="7:7" ht="12.75" x14ac:dyDescent="0.2">
      <c r="G633" s="2"/>
    </row>
    <row r="634" spans="7:7" ht="12.75" x14ac:dyDescent="0.2">
      <c r="G634" s="2"/>
    </row>
    <row r="635" spans="7:7" ht="12.75" x14ac:dyDescent="0.2">
      <c r="G635" s="2"/>
    </row>
    <row r="636" spans="7:7" ht="12.75" x14ac:dyDescent="0.2">
      <c r="G636" s="2"/>
    </row>
    <row r="637" spans="7:7" ht="12.75" x14ac:dyDescent="0.2">
      <c r="G637" s="2"/>
    </row>
    <row r="638" spans="7:7" ht="12.75" x14ac:dyDescent="0.2">
      <c r="G638" s="2"/>
    </row>
    <row r="639" spans="7:7" ht="12.75" x14ac:dyDescent="0.2">
      <c r="G639" s="2"/>
    </row>
    <row r="640" spans="7:7" ht="12.75" x14ac:dyDescent="0.2">
      <c r="G640" s="2"/>
    </row>
    <row r="641" spans="7:7" ht="12.75" x14ac:dyDescent="0.2">
      <c r="G641" s="2"/>
    </row>
    <row r="642" spans="7:7" ht="12.75" x14ac:dyDescent="0.2">
      <c r="G642" s="2"/>
    </row>
    <row r="643" spans="7:7" ht="12.75" x14ac:dyDescent="0.2">
      <c r="G643" s="2"/>
    </row>
    <row r="644" spans="7:7" ht="12.75" x14ac:dyDescent="0.2">
      <c r="G644" s="2"/>
    </row>
    <row r="645" spans="7:7" ht="12.75" x14ac:dyDescent="0.2">
      <c r="G645" s="2"/>
    </row>
    <row r="646" spans="7:7" ht="12.75" x14ac:dyDescent="0.2">
      <c r="G646" s="2"/>
    </row>
    <row r="647" spans="7:7" ht="12.75" x14ac:dyDescent="0.2">
      <c r="G647" s="2"/>
    </row>
    <row r="648" spans="7:7" ht="12.75" x14ac:dyDescent="0.2">
      <c r="G648" s="2"/>
    </row>
    <row r="649" spans="7:7" ht="12.75" x14ac:dyDescent="0.2">
      <c r="G649" s="2"/>
    </row>
    <row r="650" spans="7:7" ht="12.75" x14ac:dyDescent="0.2">
      <c r="G650" s="2"/>
    </row>
    <row r="651" spans="7:7" ht="12.75" x14ac:dyDescent="0.2">
      <c r="G651" s="2"/>
    </row>
    <row r="652" spans="7:7" ht="12.75" x14ac:dyDescent="0.2">
      <c r="G652" s="2"/>
    </row>
    <row r="653" spans="7:7" ht="12.75" x14ac:dyDescent="0.2">
      <c r="G653" s="2"/>
    </row>
    <row r="654" spans="7:7" ht="12.75" x14ac:dyDescent="0.2">
      <c r="G654" s="2"/>
    </row>
    <row r="655" spans="7:7" ht="12.75" x14ac:dyDescent="0.2">
      <c r="G655" s="2"/>
    </row>
    <row r="656" spans="7:7" ht="12.75" x14ac:dyDescent="0.2">
      <c r="G656" s="2"/>
    </row>
    <row r="657" spans="7:7" ht="12.75" x14ac:dyDescent="0.2">
      <c r="G657" s="2"/>
    </row>
    <row r="658" spans="7:7" ht="12.75" x14ac:dyDescent="0.2">
      <c r="G658" s="2"/>
    </row>
    <row r="659" spans="7:7" ht="12.75" x14ac:dyDescent="0.2">
      <c r="G659" s="2"/>
    </row>
    <row r="660" spans="7:7" ht="12.75" x14ac:dyDescent="0.2">
      <c r="G660" s="2"/>
    </row>
    <row r="661" spans="7:7" ht="12.75" x14ac:dyDescent="0.2">
      <c r="G661" s="2"/>
    </row>
    <row r="662" spans="7:7" ht="12.75" x14ac:dyDescent="0.2">
      <c r="G662" s="2"/>
    </row>
    <row r="663" spans="7:7" ht="12.75" x14ac:dyDescent="0.2">
      <c r="G663" s="2"/>
    </row>
    <row r="664" spans="7:7" ht="12.75" x14ac:dyDescent="0.2">
      <c r="G664" s="2"/>
    </row>
    <row r="665" spans="7:7" ht="12.75" x14ac:dyDescent="0.2">
      <c r="G665" s="2"/>
    </row>
    <row r="666" spans="7:7" ht="12.75" x14ac:dyDescent="0.2">
      <c r="G666" s="2"/>
    </row>
    <row r="667" spans="7:7" ht="12.75" x14ac:dyDescent="0.2">
      <c r="G667" s="2"/>
    </row>
    <row r="668" spans="7:7" ht="12.75" x14ac:dyDescent="0.2">
      <c r="G668" s="2"/>
    </row>
    <row r="669" spans="7:7" ht="12.75" x14ac:dyDescent="0.2">
      <c r="G669" s="2"/>
    </row>
    <row r="670" spans="7:7" ht="12.75" x14ac:dyDescent="0.2">
      <c r="G670" s="2"/>
    </row>
    <row r="671" spans="7:7" ht="12.75" x14ac:dyDescent="0.2">
      <c r="G671" s="2"/>
    </row>
    <row r="672" spans="7:7" ht="12.75" x14ac:dyDescent="0.2">
      <c r="G672" s="2"/>
    </row>
    <row r="673" spans="7:7" ht="12.75" x14ac:dyDescent="0.2">
      <c r="G673" s="2"/>
    </row>
    <row r="674" spans="7:7" ht="12.75" x14ac:dyDescent="0.2">
      <c r="G674" s="2"/>
    </row>
    <row r="675" spans="7:7" ht="12.75" x14ac:dyDescent="0.2">
      <c r="G675" s="2"/>
    </row>
    <row r="676" spans="7:7" ht="12.75" x14ac:dyDescent="0.2">
      <c r="G676" s="2"/>
    </row>
    <row r="677" spans="7:7" ht="12.75" x14ac:dyDescent="0.2">
      <c r="G677" s="2"/>
    </row>
    <row r="678" spans="7:7" ht="12.75" x14ac:dyDescent="0.2">
      <c r="G678" s="2"/>
    </row>
    <row r="679" spans="7:7" ht="12.75" x14ac:dyDescent="0.2">
      <c r="G679" s="2"/>
    </row>
    <row r="680" spans="7:7" ht="12.75" x14ac:dyDescent="0.2">
      <c r="G680" s="2"/>
    </row>
    <row r="681" spans="7:7" ht="12.75" x14ac:dyDescent="0.2">
      <c r="G681" s="2"/>
    </row>
    <row r="682" spans="7:7" ht="12.75" x14ac:dyDescent="0.2">
      <c r="G682" s="2"/>
    </row>
    <row r="683" spans="7:7" ht="12.75" x14ac:dyDescent="0.2">
      <c r="G683" s="2"/>
    </row>
    <row r="684" spans="7:7" ht="12.75" x14ac:dyDescent="0.2">
      <c r="G684" s="2"/>
    </row>
    <row r="685" spans="7:7" ht="12.75" x14ac:dyDescent="0.2">
      <c r="G685" s="2"/>
    </row>
    <row r="686" spans="7:7" ht="12.75" x14ac:dyDescent="0.2">
      <c r="G686" s="2"/>
    </row>
    <row r="687" spans="7:7" ht="12.75" x14ac:dyDescent="0.2">
      <c r="G687" s="2"/>
    </row>
    <row r="688" spans="7:7" ht="12.75" x14ac:dyDescent="0.2">
      <c r="G688" s="2"/>
    </row>
    <row r="689" spans="7:7" ht="12.75" x14ac:dyDescent="0.2">
      <c r="G689" s="2"/>
    </row>
    <row r="690" spans="7:7" ht="12.75" x14ac:dyDescent="0.2">
      <c r="G690" s="2"/>
    </row>
    <row r="691" spans="7:7" ht="12.75" x14ac:dyDescent="0.2">
      <c r="G691" s="2"/>
    </row>
    <row r="692" spans="7:7" ht="12.75" x14ac:dyDescent="0.2">
      <c r="G692" s="2"/>
    </row>
    <row r="693" spans="7:7" ht="12.75" x14ac:dyDescent="0.2">
      <c r="G693" s="2"/>
    </row>
    <row r="694" spans="7:7" ht="12.75" x14ac:dyDescent="0.2">
      <c r="G694" s="2"/>
    </row>
    <row r="695" spans="7:7" ht="12.75" x14ac:dyDescent="0.2">
      <c r="G695" s="2"/>
    </row>
    <row r="696" spans="7:7" ht="12.75" x14ac:dyDescent="0.2">
      <c r="G696" s="2"/>
    </row>
    <row r="697" spans="7:7" ht="12.75" x14ac:dyDescent="0.2">
      <c r="G697" s="2"/>
    </row>
    <row r="698" spans="7:7" ht="12.75" x14ac:dyDescent="0.2">
      <c r="G698" s="2"/>
    </row>
    <row r="699" spans="7:7" ht="12.75" x14ac:dyDescent="0.2">
      <c r="G699" s="2"/>
    </row>
    <row r="700" spans="7:7" ht="12.75" x14ac:dyDescent="0.2">
      <c r="G700" s="2"/>
    </row>
    <row r="701" spans="7:7" ht="12.75" x14ac:dyDescent="0.2">
      <c r="G701" s="2"/>
    </row>
    <row r="702" spans="7:7" ht="12.75" x14ac:dyDescent="0.2">
      <c r="G702" s="2"/>
    </row>
    <row r="703" spans="7:7" ht="12.75" x14ac:dyDescent="0.2">
      <c r="G703" s="2"/>
    </row>
    <row r="704" spans="7:7" ht="12.75" x14ac:dyDescent="0.2">
      <c r="G704" s="2"/>
    </row>
    <row r="705" spans="7:7" ht="12.75" x14ac:dyDescent="0.2">
      <c r="G705" s="2"/>
    </row>
    <row r="706" spans="7:7" ht="12.75" x14ac:dyDescent="0.2">
      <c r="G706" s="2"/>
    </row>
    <row r="707" spans="7:7" ht="12.75" x14ac:dyDescent="0.2">
      <c r="G707" s="2"/>
    </row>
    <row r="708" spans="7:7" ht="12.75" x14ac:dyDescent="0.2">
      <c r="G708" s="2"/>
    </row>
    <row r="709" spans="7:7" ht="12.75" x14ac:dyDescent="0.2">
      <c r="G709" s="2"/>
    </row>
    <row r="710" spans="7:7" ht="12.75" x14ac:dyDescent="0.2">
      <c r="G710" s="2"/>
    </row>
    <row r="711" spans="7:7" ht="12.75" x14ac:dyDescent="0.2">
      <c r="G711" s="2"/>
    </row>
    <row r="712" spans="7:7" ht="12.75" x14ac:dyDescent="0.2">
      <c r="G712" s="2"/>
    </row>
    <row r="713" spans="7:7" ht="12.75" x14ac:dyDescent="0.2">
      <c r="G713" s="2"/>
    </row>
    <row r="714" spans="7:7" ht="12.75" x14ac:dyDescent="0.2">
      <c r="G714" s="2"/>
    </row>
    <row r="715" spans="7:7" ht="12.75" x14ac:dyDescent="0.2">
      <c r="G715" s="2"/>
    </row>
    <row r="716" spans="7:7" ht="12.75" x14ac:dyDescent="0.2">
      <c r="G716" s="2"/>
    </row>
    <row r="717" spans="7:7" ht="12.75" x14ac:dyDescent="0.2">
      <c r="G717" s="2"/>
    </row>
    <row r="718" spans="7:7" ht="12.75" x14ac:dyDescent="0.2">
      <c r="G718" s="2"/>
    </row>
    <row r="719" spans="7:7" ht="12.75" x14ac:dyDescent="0.2">
      <c r="G719" s="2"/>
    </row>
    <row r="720" spans="7:7" ht="12.75" x14ac:dyDescent="0.2">
      <c r="G720" s="2"/>
    </row>
    <row r="721" spans="7:7" ht="12.75" x14ac:dyDescent="0.2">
      <c r="G721" s="2"/>
    </row>
    <row r="722" spans="7:7" ht="12.75" x14ac:dyDescent="0.2">
      <c r="G722" s="2"/>
    </row>
    <row r="723" spans="7:7" ht="12.75" x14ac:dyDescent="0.2">
      <c r="G723" s="2"/>
    </row>
    <row r="724" spans="7:7" ht="12.75" x14ac:dyDescent="0.2">
      <c r="G724" s="2"/>
    </row>
    <row r="725" spans="7:7" ht="12.75" x14ac:dyDescent="0.2">
      <c r="G725" s="2"/>
    </row>
    <row r="726" spans="7:7" ht="12.75" x14ac:dyDescent="0.2">
      <c r="G726" s="2"/>
    </row>
    <row r="727" spans="7:7" ht="12.75" x14ac:dyDescent="0.2">
      <c r="G727" s="2"/>
    </row>
    <row r="728" spans="7:7" ht="12.75" x14ac:dyDescent="0.2">
      <c r="G728" s="2"/>
    </row>
    <row r="729" spans="7:7" ht="12.75" x14ac:dyDescent="0.2">
      <c r="G729" s="2"/>
    </row>
    <row r="730" spans="7:7" ht="12.75" x14ac:dyDescent="0.2">
      <c r="G730" s="2"/>
    </row>
    <row r="731" spans="7:7" ht="12.75" x14ac:dyDescent="0.2">
      <c r="G731" s="2"/>
    </row>
    <row r="732" spans="7:7" ht="12.75" x14ac:dyDescent="0.2">
      <c r="G732" s="2"/>
    </row>
    <row r="733" spans="7:7" ht="12.75" x14ac:dyDescent="0.2">
      <c r="G733" s="2"/>
    </row>
    <row r="734" spans="7:7" ht="12.75" x14ac:dyDescent="0.2">
      <c r="G734" s="2"/>
    </row>
    <row r="735" spans="7:7" ht="12.75" x14ac:dyDescent="0.2">
      <c r="G735" s="2"/>
    </row>
    <row r="736" spans="7:7" ht="12.75" x14ac:dyDescent="0.2">
      <c r="G736" s="2"/>
    </row>
    <row r="737" spans="7:7" ht="12.75" x14ac:dyDescent="0.2">
      <c r="G737" s="2"/>
    </row>
    <row r="738" spans="7:7" ht="12.75" x14ac:dyDescent="0.2">
      <c r="G738" s="2"/>
    </row>
    <row r="739" spans="7:7" ht="12.75" x14ac:dyDescent="0.2">
      <c r="G739" s="2"/>
    </row>
    <row r="740" spans="7:7" ht="12.75" x14ac:dyDescent="0.2">
      <c r="G740" s="2"/>
    </row>
    <row r="741" spans="7:7" ht="12.75" x14ac:dyDescent="0.2">
      <c r="G741" s="2"/>
    </row>
    <row r="742" spans="7:7" ht="12.75" x14ac:dyDescent="0.2">
      <c r="G742" s="2"/>
    </row>
    <row r="743" spans="7:7" ht="12.75" x14ac:dyDescent="0.2">
      <c r="G743" s="2"/>
    </row>
    <row r="744" spans="7:7" ht="12.75" x14ac:dyDescent="0.2">
      <c r="G744" s="2"/>
    </row>
    <row r="745" spans="7:7" ht="12.75" x14ac:dyDescent="0.2">
      <c r="G745" s="2"/>
    </row>
    <row r="746" spans="7:7" ht="12.75" x14ac:dyDescent="0.2">
      <c r="G746" s="2"/>
    </row>
    <row r="747" spans="7:7" ht="12.75" x14ac:dyDescent="0.2">
      <c r="G747" s="2"/>
    </row>
    <row r="748" spans="7:7" ht="12.75" x14ac:dyDescent="0.2">
      <c r="G748" s="2"/>
    </row>
    <row r="749" spans="7:7" ht="12.75" x14ac:dyDescent="0.2">
      <c r="G749" s="2"/>
    </row>
    <row r="750" spans="7:7" ht="12.75" x14ac:dyDescent="0.2">
      <c r="G750" s="2"/>
    </row>
    <row r="751" spans="7:7" ht="12.75" x14ac:dyDescent="0.2">
      <c r="G751" s="2"/>
    </row>
    <row r="752" spans="7:7" ht="12.75" x14ac:dyDescent="0.2">
      <c r="G752" s="2"/>
    </row>
    <row r="753" spans="7:7" ht="12.75" x14ac:dyDescent="0.2">
      <c r="G753" s="2"/>
    </row>
    <row r="754" spans="7:7" ht="12.75" x14ac:dyDescent="0.2">
      <c r="G754" s="2"/>
    </row>
    <row r="755" spans="7:7" ht="12.75" x14ac:dyDescent="0.2">
      <c r="G755" s="2"/>
    </row>
    <row r="756" spans="7:7" ht="12.75" x14ac:dyDescent="0.2">
      <c r="G756" s="2"/>
    </row>
    <row r="757" spans="7:7" ht="12.75" x14ac:dyDescent="0.2">
      <c r="G757" s="2"/>
    </row>
    <row r="758" spans="7:7" ht="12.75" x14ac:dyDescent="0.2">
      <c r="G758" s="2"/>
    </row>
    <row r="759" spans="7:7" ht="12.75" x14ac:dyDescent="0.2">
      <c r="G759" s="2"/>
    </row>
    <row r="760" spans="7:7" ht="12.75" x14ac:dyDescent="0.2">
      <c r="G760" s="2"/>
    </row>
    <row r="761" spans="7:7" ht="12.75" x14ac:dyDescent="0.2">
      <c r="G761" s="2"/>
    </row>
    <row r="762" spans="7:7" ht="12.75" x14ac:dyDescent="0.2">
      <c r="G762" s="2"/>
    </row>
    <row r="763" spans="7:7" ht="12.75" x14ac:dyDescent="0.2">
      <c r="G763" s="2"/>
    </row>
    <row r="764" spans="7:7" ht="12.75" x14ac:dyDescent="0.2">
      <c r="G764" s="2"/>
    </row>
    <row r="765" spans="7:7" ht="12.75" x14ac:dyDescent="0.2">
      <c r="G765" s="2"/>
    </row>
    <row r="766" spans="7:7" ht="12.75" x14ac:dyDescent="0.2">
      <c r="G766" s="2"/>
    </row>
    <row r="767" spans="7:7" ht="12.75" x14ac:dyDescent="0.2">
      <c r="G767" s="2"/>
    </row>
    <row r="768" spans="7:7" ht="12.75" x14ac:dyDescent="0.2">
      <c r="G768" s="2"/>
    </row>
    <row r="769" spans="7:7" ht="12.75" x14ac:dyDescent="0.2">
      <c r="G769" s="2"/>
    </row>
    <row r="770" spans="7:7" ht="12.75" x14ac:dyDescent="0.2">
      <c r="G770" s="2"/>
    </row>
    <row r="771" spans="7:7" ht="12.75" x14ac:dyDescent="0.2">
      <c r="G771" s="2"/>
    </row>
    <row r="772" spans="7:7" ht="12.75" x14ac:dyDescent="0.2">
      <c r="G772" s="2"/>
    </row>
    <row r="773" spans="7:7" ht="12.75" x14ac:dyDescent="0.2">
      <c r="G773" s="2"/>
    </row>
    <row r="774" spans="7:7" ht="12.75" x14ac:dyDescent="0.2">
      <c r="G774" s="2"/>
    </row>
    <row r="775" spans="7:7" ht="12.75" x14ac:dyDescent="0.2">
      <c r="G775" s="2"/>
    </row>
    <row r="776" spans="7:7" ht="12.75" x14ac:dyDescent="0.2">
      <c r="G776" s="2"/>
    </row>
    <row r="777" spans="7:7" ht="12.75" x14ac:dyDescent="0.2">
      <c r="G777" s="2"/>
    </row>
    <row r="778" spans="7:7" ht="12.75" x14ac:dyDescent="0.2">
      <c r="G778" s="2"/>
    </row>
    <row r="779" spans="7:7" ht="12.75" x14ac:dyDescent="0.2">
      <c r="G779" s="2"/>
    </row>
    <row r="780" spans="7:7" ht="12.75" x14ac:dyDescent="0.2">
      <c r="G780" s="2"/>
    </row>
    <row r="781" spans="7:7" ht="12.75" x14ac:dyDescent="0.2">
      <c r="G781" s="2"/>
    </row>
    <row r="782" spans="7:7" ht="12.75" x14ac:dyDescent="0.2">
      <c r="G782" s="2"/>
    </row>
    <row r="783" spans="7:7" ht="12.75" x14ac:dyDescent="0.2">
      <c r="G783" s="2"/>
    </row>
    <row r="784" spans="7:7" ht="12.75" x14ac:dyDescent="0.2">
      <c r="G784" s="2"/>
    </row>
    <row r="785" spans="7:7" ht="12.75" x14ac:dyDescent="0.2">
      <c r="G785" s="2"/>
    </row>
    <row r="786" spans="7:7" ht="12.75" x14ac:dyDescent="0.2">
      <c r="G786" s="2"/>
    </row>
    <row r="787" spans="7:7" ht="12.75" x14ac:dyDescent="0.2">
      <c r="G787" s="2"/>
    </row>
    <row r="788" spans="7:7" ht="12.75" x14ac:dyDescent="0.2">
      <c r="G788" s="2"/>
    </row>
    <row r="789" spans="7:7" ht="12.75" x14ac:dyDescent="0.2">
      <c r="G789" s="2"/>
    </row>
    <row r="790" spans="7:7" ht="12.75" x14ac:dyDescent="0.2">
      <c r="G790" s="2"/>
    </row>
    <row r="791" spans="7:7" ht="12.75" x14ac:dyDescent="0.2">
      <c r="G791" s="2"/>
    </row>
    <row r="792" spans="7:7" ht="12.75" x14ac:dyDescent="0.2">
      <c r="G792" s="2"/>
    </row>
    <row r="793" spans="7:7" ht="12.75" x14ac:dyDescent="0.2">
      <c r="G793" s="2"/>
    </row>
    <row r="794" spans="7:7" ht="12.75" x14ac:dyDescent="0.2">
      <c r="G794" s="2"/>
    </row>
    <row r="795" spans="7:7" ht="12.75" x14ac:dyDescent="0.2">
      <c r="G795" s="2"/>
    </row>
    <row r="796" spans="7:7" ht="12.75" x14ac:dyDescent="0.2">
      <c r="G796" s="2"/>
    </row>
    <row r="797" spans="7:7" ht="12.75" x14ac:dyDescent="0.2">
      <c r="G797" s="2"/>
    </row>
    <row r="798" spans="7:7" ht="12.75" x14ac:dyDescent="0.2">
      <c r="G798" s="2"/>
    </row>
    <row r="799" spans="7:7" ht="12.75" x14ac:dyDescent="0.2">
      <c r="G799" s="2"/>
    </row>
    <row r="800" spans="7:7" ht="12.75" x14ac:dyDescent="0.2">
      <c r="G800" s="2"/>
    </row>
    <row r="801" spans="7:7" ht="12.75" x14ac:dyDescent="0.2">
      <c r="G801" s="2"/>
    </row>
    <row r="802" spans="7:7" ht="12.75" x14ac:dyDescent="0.2">
      <c r="G802" s="2"/>
    </row>
    <row r="803" spans="7:7" ht="12.75" x14ac:dyDescent="0.2">
      <c r="G803" s="2"/>
    </row>
    <row r="804" spans="7:7" ht="12.75" x14ac:dyDescent="0.2">
      <c r="G804" s="2"/>
    </row>
    <row r="805" spans="7:7" ht="12.75" x14ac:dyDescent="0.2">
      <c r="G805" s="2"/>
    </row>
    <row r="806" spans="7:7" ht="12.75" x14ac:dyDescent="0.2">
      <c r="G806" s="2"/>
    </row>
    <row r="807" spans="7:7" ht="12.75" x14ac:dyDescent="0.2">
      <c r="G807" s="2"/>
    </row>
    <row r="808" spans="7:7" ht="12.75" x14ac:dyDescent="0.2">
      <c r="G808" s="2"/>
    </row>
    <row r="809" spans="7:7" ht="12.75" x14ac:dyDescent="0.2">
      <c r="G809" s="2"/>
    </row>
    <row r="810" spans="7:7" ht="12.75" x14ac:dyDescent="0.2">
      <c r="G810" s="2"/>
    </row>
    <row r="811" spans="7:7" ht="12.75" x14ac:dyDescent="0.2">
      <c r="G811" s="2"/>
    </row>
    <row r="812" spans="7:7" ht="12.75" x14ac:dyDescent="0.2">
      <c r="G812" s="2"/>
    </row>
    <row r="813" spans="7:7" ht="12.75" x14ac:dyDescent="0.2">
      <c r="G813" s="2"/>
    </row>
    <row r="814" spans="7:7" ht="12.75" x14ac:dyDescent="0.2">
      <c r="G814" s="2"/>
    </row>
    <row r="815" spans="7:7" ht="12.75" x14ac:dyDescent="0.2">
      <c r="G815" s="2"/>
    </row>
    <row r="816" spans="7:7" ht="12.75" x14ac:dyDescent="0.2">
      <c r="G816" s="2"/>
    </row>
    <row r="817" spans="7:7" ht="12.75" x14ac:dyDescent="0.2">
      <c r="G817" s="2"/>
    </row>
    <row r="818" spans="7:7" ht="12.75" x14ac:dyDescent="0.2">
      <c r="G818" s="2"/>
    </row>
    <row r="819" spans="7:7" ht="12.75" x14ac:dyDescent="0.2">
      <c r="G819" s="2"/>
    </row>
    <row r="820" spans="7:7" ht="12.75" x14ac:dyDescent="0.2">
      <c r="G820" s="2"/>
    </row>
    <row r="821" spans="7:7" ht="12.75" x14ac:dyDescent="0.2">
      <c r="G821" s="2"/>
    </row>
    <row r="822" spans="7:7" ht="12.75" x14ac:dyDescent="0.2">
      <c r="G822" s="2"/>
    </row>
    <row r="823" spans="7:7" ht="12.75" x14ac:dyDescent="0.2">
      <c r="G823" s="2"/>
    </row>
    <row r="824" spans="7:7" ht="12.75" x14ac:dyDescent="0.2">
      <c r="G824" s="2"/>
    </row>
    <row r="825" spans="7:7" ht="12.75" x14ac:dyDescent="0.2">
      <c r="G825" s="2"/>
    </row>
    <row r="826" spans="7:7" ht="12.75" x14ac:dyDescent="0.2">
      <c r="G826" s="2"/>
    </row>
    <row r="827" spans="7:7" ht="12.75" x14ac:dyDescent="0.2">
      <c r="G827" s="2"/>
    </row>
    <row r="828" spans="7:7" ht="12.75" x14ac:dyDescent="0.2">
      <c r="G828" s="2"/>
    </row>
    <row r="829" spans="7:7" ht="12.75" x14ac:dyDescent="0.2">
      <c r="G829" s="2"/>
    </row>
    <row r="830" spans="7:7" ht="12.75" x14ac:dyDescent="0.2">
      <c r="G830" s="2"/>
    </row>
    <row r="831" spans="7:7" ht="12.75" x14ac:dyDescent="0.2">
      <c r="G831" s="2"/>
    </row>
    <row r="832" spans="7:7" ht="12.75" x14ac:dyDescent="0.2">
      <c r="G832" s="2"/>
    </row>
    <row r="833" spans="7:7" ht="12.75" x14ac:dyDescent="0.2">
      <c r="G833" s="2"/>
    </row>
    <row r="834" spans="7:7" ht="12.75" x14ac:dyDescent="0.2">
      <c r="G834" s="2"/>
    </row>
    <row r="835" spans="7:7" ht="12.75" x14ac:dyDescent="0.2">
      <c r="G835" s="2"/>
    </row>
    <row r="836" spans="7:7" ht="12.75" x14ac:dyDescent="0.2">
      <c r="G836" s="2"/>
    </row>
    <row r="837" spans="7:7" ht="12.75" x14ac:dyDescent="0.2">
      <c r="G837" s="2"/>
    </row>
    <row r="838" spans="7:7" ht="12.75" x14ac:dyDescent="0.2">
      <c r="G838" s="2"/>
    </row>
    <row r="839" spans="7:7" ht="12.75" x14ac:dyDescent="0.2">
      <c r="G839" s="2"/>
    </row>
    <row r="840" spans="7:7" ht="12.75" x14ac:dyDescent="0.2">
      <c r="G840" s="2"/>
    </row>
    <row r="841" spans="7:7" ht="12.75" x14ac:dyDescent="0.2">
      <c r="G841" s="2"/>
    </row>
    <row r="842" spans="7:7" ht="12.75" x14ac:dyDescent="0.2">
      <c r="G842" s="2"/>
    </row>
    <row r="843" spans="7:7" ht="12.75" x14ac:dyDescent="0.2">
      <c r="G843" s="2"/>
    </row>
    <row r="844" spans="7:7" ht="12.75" x14ac:dyDescent="0.2">
      <c r="G844" s="2"/>
    </row>
    <row r="845" spans="7:7" ht="12.75" x14ac:dyDescent="0.2">
      <c r="G845" s="2"/>
    </row>
    <row r="846" spans="7:7" ht="12.75" x14ac:dyDescent="0.2">
      <c r="G846" s="2"/>
    </row>
    <row r="847" spans="7:7" ht="12.75" x14ac:dyDescent="0.2">
      <c r="G847" s="2"/>
    </row>
    <row r="848" spans="7:7" ht="12.75" x14ac:dyDescent="0.2">
      <c r="G848" s="2"/>
    </row>
    <row r="849" spans="7:7" ht="12.75" x14ac:dyDescent="0.2">
      <c r="G849" s="2"/>
    </row>
    <row r="850" spans="7:7" ht="12.75" x14ac:dyDescent="0.2">
      <c r="G850" s="2"/>
    </row>
    <row r="851" spans="7:7" ht="12.75" x14ac:dyDescent="0.2">
      <c r="G851" s="2"/>
    </row>
    <row r="852" spans="7:7" ht="12.75" x14ac:dyDescent="0.2">
      <c r="G852" s="2"/>
    </row>
    <row r="853" spans="7:7" ht="12.75" x14ac:dyDescent="0.2">
      <c r="G853" s="2"/>
    </row>
    <row r="854" spans="7:7" ht="12.75" x14ac:dyDescent="0.2">
      <c r="G854" s="2"/>
    </row>
    <row r="855" spans="7:7" ht="12.75" x14ac:dyDescent="0.2">
      <c r="G855" s="2"/>
    </row>
    <row r="856" spans="7:7" ht="12.75" x14ac:dyDescent="0.2">
      <c r="G856" s="2"/>
    </row>
    <row r="857" spans="7:7" ht="12.75" x14ac:dyDescent="0.2">
      <c r="G857" s="2"/>
    </row>
    <row r="858" spans="7:7" ht="12.75" x14ac:dyDescent="0.2">
      <c r="G858" s="2"/>
    </row>
    <row r="859" spans="7:7" ht="12.75" x14ac:dyDescent="0.2">
      <c r="G859" s="2"/>
    </row>
    <row r="860" spans="7:7" ht="12.75" x14ac:dyDescent="0.2">
      <c r="G860" s="2"/>
    </row>
    <row r="861" spans="7:7" ht="12.75" x14ac:dyDescent="0.2">
      <c r="G861" s="2"/>
    </row>
    <row r="862" spans="7:7" ht="12.75" x14ac:dyDescent="0.2">
      <c r="G862" s="2"/>
    </row>
    <row r="863" spans="7:7" ht="12.75" x14ac:dyDescent="0.2">
      <c r="G863" s="2"/>
    </row>
    <row r="864" spans="7:7" ht="12.75" x14ac:dyDescent="0.2">
      <c r="G864" s="2"/>
    </row>
    <row r="865" spans="7:7" ht="12.75" x14ac:dyDescent="0.2">
      <c r="G865" s="2"/>
    </row>
    <row r="866" spans="7:7" ht="12.75" x14ac:dyDescent="0.2">
      <c r="G866" s="2"/>
    </row>
    <row r="867" spans="7:7" ht="12.75" x14ac:dyDescent="0.2">
      <c r="G867" s="2"/>
    </row>
    <row r="868" spans="7:7" ht="12.75" x14ac:dyDescent="0.2">
      <c r="G868" s="2"/>
    </row>
    <row r="869" spans="7:7" ht="12.75" x14ac:dyDescent="0.2">
      <c r="G869" s="2"/>
    </row>
    <row r="870" spans="7:7" ht="12.75" x14ac:dyDescent="0.2">
      <c r="G870" s="2"/>
    </row>
    <row r="871" spans="7:7" ht="12.75" x14ac:dyDescent="0.2">
      <c r="G871" s="2"/>
    </row>
    <row r="872" spans="7:7" ht="12.75" x14ac:dyDescent="0.2">
      <c r="G872" s="2"/>
    </row>
    <row r="873" spans="7:7" ht="12.75" x14ac:dyDescent="0.2">
      <c r="G873" s="2"/>
    </row>
    <row r="874" spans="7:7" ht="12.75" x14ac:dyDescent="0.2">
      <c r="G874" s="2"/>
    </row>
    <row r="875" spans="7:7" ht="12.75" x14ac:dyDescent="0.2">
      <c r="G875" s="2"/>
    </row>
    <row r="876" spans="7:7" ht="12.75" x14ac:dyDescent="0.2">
      <c r="G876" s="2"/>
    </row>
    <row r="877" spans="7:7" ht="12.75" x14ac:dyDescent="0.2">
      <c r="G877" s="2"/>
    </row>
    <row r="878" spans="7:7" ht="12.75" x14ac:dyDescent="0.2">
      <c r="G878" s="2"/>
    </row>
    <row r="879" spans="7:7" ht="12.75" x14ac:dyDescent="0.2">
      <c r="G879" s="2"/>
    </row>
    <row r="880" spans="7:7" ht="12.75" x14ac:dyDescent="0.2">
      <c r="G880" s="2"/>
    </row>
    <row r="881" spans="7:7" ht="12.75" x14ac:dyDescent="0.2">
      <c r="G881" s="2"/>
    </row>
    <row r="882" spans="7:7" ht="12.75" x14ac:dyDescent="0.2">
      <c r="G882" s="2"/>
    </row>
    <row r="883" spans="7:7" ht="12.75" x14ac:dyDescent="0.2">
      <c r="G883" s="2"/>
    </row>
    <row r="884" spans="7:7" ht="12.75" x14ac:dyDescent="0.2">
      <c r="G884" s="2"/>
    </row>
    <row r="885" spans="7:7" ht="12.75" x14ac:dyDescent="0.2">
      <c r="G885" s="2"/>
    </row>
    <row r="886" spans="7:7" ht="12.75" x14ac:dyDescent="0.2">
      <c r="G886" s="2"/>
    </row>
    <row r="887" spans="7:7" ht="12.75" x14ac:dyDescent="0.2">
      <c r="G887" s="2"/>
    </row>
    <row r="888" spans="7:7" ht="12.75" x14ac:dyDescent="0.2">
      <c r="G888" s="2"/>
    </row>
    <row r="889" spans="7:7" ht="12.75" x14ac:dyDescent="0.2">
      <c r="G889" s="2"/>
    </row>
    <row r="890" spans="7:7" ht="12.75" x14ac:dyDescent="0.2">
      <c r="G890" s="2"/>
    </row>
    <row r="891" spans="7:7" ht="12.75" x14ac:dyDescent="0.2">
      <c r="G891" s="2"/>
    </row>
    <row r="892" spans="7:7" ht="12.75" x14ac:dyDescent="0.2">
      <c r="G892" s="2"/>
    </row>
    <row r="893" spans="7:7" ht="12.75" x14ac:dyDescent="0.2">
      <c r="G893" s="2"/>
    </row>
    <row r="894" spans="7:7" ht="12.75" x14ac:dyDescent="0.2">
      <c r="G894" s="2"/>
    </row>
    <row r="895" spans="7:7" ht="12.75" x14ac:dyDescent="0.2">
      <c r="G895" s="2"/>
    </row>
    <row r="896" spans="7:7" ht="12.75" x14ac:dyDescent="0.2">
      <c r="G896" s="2"/>
    </row>
    <row r="897" spans="7:7" ht="12.75" x14ac:dyDescent="0.2">
      <c r="G897" s="2"/>
    </row>
    <row r="898" spans="7:7" ht="12.75" x14ac:dyDescent="0.2">
      <c r="G898" s="2"/>
    </row>
    <row r="899" spans="7:7" ht="12.75" x14ac:dyDescent="0.2">
      <c r="G899" s="2"/>
    </row>
    <row r="900" spans="7:7" ht="12.75" x14ac:dyDescent="0.2">
      <c r="G900" s="2"/>
    </row>
    <row r="901" spans="7:7" ht="12.75" x14ac:dyDescent="0.2">
      <c r="G901" s="2"/>
    </row>
    <row r="902" spans="7:7" ht="12.75" x14ac:dyDescent="0.2">
      <c r="G902" s="2"/>
    </row>
    <row r="903" spans="7:7" ht="12.75" x14ac:dyDescent="0.2">
      <c r="G903" s="2"/>
    </row>
    <row r="904" spans="7:7" ht="12.75" x14ac:dyDescent="0.2">
      <c r="G904" s="2"/>
    </row>
    <row r="905" spans="7:7" ht="12.75" x14ac:dyDescent="0.2">
      <c r="G905" s="2"/>
    </row>
    <row r="906" spans="7:7" ht="12.75" x14ac:dyDescent="0.2">
      <c r="G906" s="2"/>
    </row>
    <row r="907" spans="7:7" ht="12.75" x14ac:dyDescent="0.2">
      <c r="G907" s="2"/>
    </row>
    <row r="908" spans="7:7" ht="12.75" x14ac:dyDescent="0.2">
      <c r="G908" s="2"/>
    </row>
    <row r="909" spans="7:7" ht="12.75" x14ac:dyDescent="0.2">
      <c r="G909" s="2"/>
    </row>
    <row r="910" spans="7:7" ht="12.75" x14ac:dyDescent="0.2">
      <c r="G910" s="2"/>
    </row>
    <row r="911" spans="7:7" ht="12.75" x14ac:dyDescent="0.2">
      <c r="G911" s="2"/>
    </row>
    <row r="912" spans="7:7" ht="12.75" x14ac:dyDescent="0.2">
      <c r="G912" s="2"/>
    </row>
    <row r="913" spans="7:7" ht="12.75" x14ac:dyDescent="0.2">
      <c r="G913" s="2"/>
    </row>
    <row r="914" spans="7:7" ht="12.75" x14ac:dyDescent="0.2">
      <c r="G914" s="2"/>
    </row>
    <row r="915" spans="7:7" ht="12.75" x14ac:dyDescent="0.2">
      <c r="G915" s="2"/>
    </row>
    <row r="916" spans="7:7" ht="12.75" x14ac:dyDescent="0.2">
      <c r="G916" s="2"/>
    </row>
    <row r="917" spans="7:7" ht="12.75" x14ac:dyDescent="0.2">
      <c r="G917" s="2"/>
    </row>
    <row r="918" spans="7:7" ht="12.75" x14ac:dyDescent="0.2">
      <c r="G918" s="2"/>
    </row>
    <row r="919" spans="7:7" ht="12.75" x14ac:dyDescent="0.2">
      <c r="G919" s="2"/>
    </row>
    <row r="920" spans="7:7" ht="12.75" x14ac:dyDescent="0.2">
      <c r="G920" s="2"/>
    </row>
    <row r="921" spans="7:7" ht="12.75" x14ac:dyDescent="0.2">
      <c r="G921" s="2"/>
    </row>
    <row r="922" spans="7:7" ht="12.75" x14ac:dyDescent="0.2">
      <c r="G922" s="2"/>
    </row>
    <row r="923" spans="7:7" ht="12.75" x14ac:dyDescent="0.2">
      <c r="G923" s="2"/>
    </row>
    <row r="924" spans="7:7" ht="12.75" x14ac:dyDescent="0.2">
      <c r="G924" s="2"/>
    </row>
    <row r="925" spans="7:7" ht="12.75" x14ac:dyDescent="0.2">
      <c r="G925" s="2"/>
    </row>
    <row r="926" spans="7:7" ht="12.75" x14ac:dyDescent="0.2">
      <c r="G926" s="2"/>
    </row>
    <row r="927" spans="7:7" ht="12.75" x14ac:dyDescent="0.2">
      <c r="G927" s="2"/>
    </row>
    <row r="928" spans="7:7" ht="12.75" x14ac:dyDescent="0.2">
      <c r="G928" s="2"/>
    </row>
    <row r="929" spans="7:7" ht="12.75" x14ac:dyDescent="0.2">
      <c r="G929" s="2"/>
    </row>
    <row r="930" spans="7:7" ht="12.75" x14ac:dyDescent="0.2">
      <c r="G930" s="2"/>
    </row>
    <row r="931" spans="7:7" ht="12.75" x14ac:dyDescent="0.2">
      <c r="G931" s="2"/>
    </row>
    <row r="932" spans="7:7" ht="12.75" x14ac:dyDescent="0.2">
      <c r="G932" s="2"/>
    </row>
    <row r="933" spans="7:7" ht="12.75" x14ac:dyDescent="0.2">
      <c r="G933" s="2"/>
    </row>
    <row r="934" spans="7:7" ht="12.75" x14ac:dyDescent="0.2">
      <c r="G934" s="2"/>
    </row>
    <row r="935" spans="7:7" ht="12.75" x14ac:dyDescent="0.2">
      <c r="G935" s="2"/>
    </row>
    <row r="936" spans="7:7" ht="12.75" x14ac:dyDescent="0.2">
      <c r="G936" s="2"/>
    </row>
    <row r="937" spans="7:7" ht="12.75" x14ac:dyDescent="0.2">
      <c r="G937" s="2"/>
    </row>
    <row r="938" spans="7:7" ht="12.75" x14ac:dyDescent="0.2">
      <c r="G938" s="2"/>
    </row>
    <row r="939" spans="7:7" ht="12.75" x14ac:dyDescent="0.2">
      <c r="G939" s="2"/>
    </row>
    <row r="940" spans="7:7" ht="12.75" x14ac:dyDescent="0.2">
      <c r="G940" s="2"/>
    </row>
    <row r="941" spans="7:7" ht="12.75" x14ac:dyDescent="0.2">
      <c r="G941" s="2"/>
    </row>
    <row r="942" spans="7:7" ht="12.75" x14ac:dyDescent="0.2">
      <c r="G942" s="2"/>
    </row>
    <row r="943" spans="7:7" ht="12.75" x14ac:dyDescent="0.2">
      <c r="G943" s="2"/>
    </row>
    <row r="944" spans="7:7" ht="12.75" x14ac:dyDescent="0.2">
      <c r="G944" s="2"/>
    </row>
    <row r="945" spans="7:7" ht="12.75" x14ac:dyDescent="0.2">
      <c r="G945" s="2"/>
    </row>
    <row r="946" spans="7:7" ht="12.75" x14ac:dyDescent="0.2">
      <c r="G946" s="2"/>
    </row>
    <row r="947" spans="7:7" ht="12.75" x14ac:dyDescent="0.2">
      <c r="G947" s="2"/>
    </row>
    <row r="948" spans="7:7" ht="12.75" x14ac:dyDescent="0.2">
      <c r="G948" s="2"/>
    </row>
    <row r="949" spans="7:7" ht="12.75" x14ac:dyDescent="0.2">
      <c r="G949" s="2"/>
    </row>
    <row r="950" spans="7:7" ht="12.75" x14ac:dyDescent="0.2">
      <c r="G950" s="2"/>
    </row>
    <row r="951" spans="7:7" ht="12.75" x14ac:dyDescent="0.2">
      <c r="G951" s="2"/>
    </row>
    <row r="952" spans="7:7" ht="12.75" x14ac:dyDescent="0.2">
      <c r="G952" s="2"/>
    </row>
    <row r="953" spans="7:7" ht="12.75" x14ac:dyDescent="0.2">
      <c r="G953" s="2"/>
    </row>
    <row r="954" spans="7:7" ht="12.75" x14ac:dyDescent="0.2">
      <c r="G954" s="2"/>
    </row>
    <row r="955" spans="7:7" ht="12.75" x14ac:dyDescent="0.2">
      <c r="G955" s="2"/>
    </row>
    <row r="956" spans="7:7" ht="12.75" x14ac:dyDescent="0.2">
      <c r="G956" s="2"/>
    </row>
    <row r="957" spans="7:7" ht="12.75" x14ac:dyDescent="0.2">
      <c r="G957" s="2"/>
    </row>
    <row r="958" spans="7:7" ht="12.75" x14ac:dyDescent="0.2">
      <c r="G958" s="2"/>
    </row>
    <row r="959" spans="7:7" ht="12.75" x14ac:dyDescent="0.2">
      <c r="G959" s="2"/>
    </row>
    <row r="960" spans="7:7" ht="12.75" x14ac:dyDescent="0.2">
      <c r="G960" s="2"/>
    </row>
    <row r="961" spans="7:7" ht="12.75" x14ac:dyDescent="0.2">
      <c r="G961" s="2"/>
    </row>
    <row r="962" spans="7:7" ht="12.75" x14ac:dyDescent="0.2">
      <c r="G962" s="2"/>
    </row>
    <row r="963" spans="7:7" ht="12.75" x14ac:dyDescent="0.2">
      <c r="G963" s="2"/>
    </row>
    <row r="964" spans="7:7" ht="12.75" x14ac:dyDescent="0.2">
      <c r="G964" s="2"/>
    </row>
    <row r="965" spans="7:7" ht="12.75" x14ac:dyDescent="0.2">
      <c r="G965" s="2"/>
    </row>
    <row r="966" spans="7:7" ht="12.75" x14ac:dyDescent="0.2">
      <c r="G966" s="2"/>
    </row>
    <row r="967" spans="7:7" ht="12.75" x14ac:dyDescent="0.2">
      <c r="G967" s="2"/>
    </row>
    <row r="968" spans="7:7" ht="12.75" x14ac:dyDescent="0.2">
      <c r="G968" s="2"/>
    </row>
    <row r="969" spans="7:7" ht="12.75" x14ac:dyDescent="0.2">
      <c r="G969" s="2"/>
    </row>
    <row r="970" spans="7:7" ht="12.75" x14ac:dyDescent="0.2">
      <c r="G970" s="2"/>
    </row>
    <row r="971" spans="7:7" ht="12.75" x14ac:dyDescent="0.2">
      <c r="G971" s="2"/>
    </row>
    <row r="972" spans="7:7" ht="12.75" x14ac:dyDescent="0.2">
      <c r="G972" s="2"/>
    </row>
    <row r="973" spans="7:7" ht="12.75" x14ac:dyDescent="0.2">
      <c r="G973" s="2"/>
    </row>
    <row r="974" spans="7:7" ht="12.75" x14ac:dyDescent="0.2">
      <c r="G974" s="2"/>
    </row>
    <row r="975" spans="7:7" ht="12.75" x14ac:dyDescent="0.2">
      <c r="G975" s="2"/>
    </row>
    <row r="976" spans="7:7" ht="12.75" x14ac:dyDescent="0.2">
      <c r="G976" s="2"/>
    </row>
    <row r="977" spans="7:7" ht="12.75" x14ac:dyDescent="0.2">
      <c r="G977" s="2"/>
    </row>
    <row r="978" spans="7:7" ht="12.75" x14ac:dyDescent="0.2">
      <c r="G978" s="2"/>
    </row>
    <row r="979" spans="7:7" ht="12.75" x14ac:dyDescent="0.2">
      <c r="G979" s="2"/>
    </row>
    <row r="980" spans="7:7" ht="12.75" x14ac:dyDescent="0.2">
      <c r="G980" s="2"/>
    </row>
    <row r="981" spans="7:7" ht="12.75" x14ac:dyDescent="0.2">
      <c r="G981" s="2"/>
    </row>
    <row r="982" spans="7:7" ht="12.75" x14ac:dyDescent="0.2">
      <c r="G982" s="2"/>
    </row>
    <row r="983" spans="7:7" ht="12.75" x14ac:dyDescent="0.2">
      <c r="G983" s="2"/>
    </row>
    <row r="984" spans="7:7" ht="12.75" x14ac:dyDescent="0.2">
      <c r="G984" s="2"/>
    </row>
    <row r="985" spans="7:7" ht="12.75" x14ac:dyDescent="0.2">
      <c r="G985" s="2"/>
    </row>
    <row r="986" spans="7:7" ht="12.75" x14ac:dyDescent="0.2">
      <c r="G986" s="2"/>
    </row>
    <row r="987" spans="7:7" ht="12.75" x14ac:dyDescent="0.2">
      <c r="G987" s="2"/>
    </row>
    <row r="988" spans="7:7" ht="12.75" x14ac:dyDescent="0.2">
      <c r="G988" s="2"/>
    </row>
    <row r="989" spans="7:7" ht="12.75" x14ac:dyDescent="0.2">
      <c r="G989" s="2"/>
    </row>
    <row r="990" spans="7:7" ht="12.75" x14ac:dyDescent="0.2">
      <c r="G990" s="2"/>
    </row>
    <row r="991" spans="7:7" ht="12.75" x14ac:dyDescent="0.2">
      <c r="G991" s="2"/>
    </row>
    <row r="992" spans="7:7" ht="12.75" x14ac:dyDescent="0.2">
      <c r="G992" s="2"/>
    </row>
    <row r="993" spans="7:7" ht="12.75" x14ac:dyDescent="0.2">
      <c r="G993" s="2"/>
    </row>
    <row r="994" spans="7:7" ht="12.75" x14ac:dyDescent="0.2">
      <c r="G994" s="2"/>
    </row>
    <row r="995" spans="7:7" ht="12.75" x14ac:dyDescent="0.2">
      <c r="G995" s="2"/>
    </row>
    <row r="996" spans="7:7" ht="12.75" x14ac:dyDescent="0.2">
      <c r="G996" s="2"/>
    </row>
    <row r="997" spans="7:7" ht="12.75" x14ac:dyDescent="0.2">
      <c r="G997" s="2"/>
    </row>
    <row r="998" spans="7:7" ht="12.75" x14ac:dyDescent="0.2">
      <c r="G998" s="2"/>
    </row>
    <row r="999" spans="7:7" ht="12.75" x14ac:dyDescent="0.2">
      <c r="G999" s="2"/>
    </row>
    <row r="1000" spans="7:7" ht="12.75" x14ac:dyDescent="0.2">
      <c r="G1000" s="2"/>
    </row>
  </sheetData>
  <mergeCells count="2">
    <mergeCell ref="A1:B1"/>
    <mergeCell ref="C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DADOS GERAIS</vt:lpstr>
      <vt:lpstr>SHSPU VS %SP</vt:lpstr>
      <vt:lpstr>OUTROS FATORES</vt:lpstr>
      <vt:lpstr>DADOS OCULTOS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200.014609</dc:creator>
  <cp:lastModifiedBy>User</cp:lastModifiedBy>
  <dcterms:created xsi:type="dcterms:W3CDTF">2024-10-09T22:20:25Z</dcterms:created>
  <dcterms:modified xsi:type="dcterms:W3CDTF">2026-03-09T19:42:58Z</dcterms:modified>
</cp:coreProperties>
</file>