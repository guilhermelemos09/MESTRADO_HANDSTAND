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0" autoFilterDateGrouping="1"/>
  </bookViews>
  <sheets>
    <sheet xmlns:r="http://schemas.openxmlformats.org/officeDocument/2006/relationships" name="Coleta_LaCiD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i val="1"/>
      <color rgb="FF404040"/>
      <sz val="9"/>
    </font>
    <font>
      <name val="Calibri"/>
      <charset val="134"/>
      <sz val="11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85723"/>
        <bgColor rgb="FF385723"/>
      </patternFill>
    </fill>
    <fill>
      <patternFill patternType="solid">
        <fgColor rgb="FF2E75B6"/>
        <bgColor rgb="FF2E75B6"/>
      </patternFill>
    </fill>
    <fill>
      <patternFill patternType="solid">
        <fgColor rgb="FFC65911"/>
        <bgColor rgb="FFC65911"/>
      </patternFill>
    </fill>
    <fill>
      <patternFill patternType="solid">
        <fgColor rgb="FF7030A0"/>
        <bgColor rgb="FF7030A0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4" fillId="0" borderId="0" applyAlignment="1">
      <alignment vertical="center"/>
    </xf>
    <xf numFmtId="165" fontId="4" fillId="0" borderId="0" applyAlignment="1">
      <alignment vertical="center"/>
    </xf>
    <xf numFmtId="9" fontId="4" fillId="0" borderId="0" applyAlignment="1">
      <alignment vertical="center"/>
    </xf>
    <xf numFmtId="166" fontId="4" fillId="0" borderId="0" applyAlignment="1">
      <alignment vertical="center"/>
    </xf>
    <xf numFmtId="167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9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10" borderId="5" applyAlignment="1">
      <alignment vertical="center"/>
    </xf>
    <xf numFmtId="0" fontId="14" fillId="11" borderId="6" applyAlignment="1">
      <alignment vertical="center"/>
    </xf>
    <xf numFmtId="0" fontId="15" fillId="11" borderId="5" applyAlignment="1">
      <alignment vertical="center"/>
    </xf>
    <xf numFmtId="0" fontId="16" fillId="12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3" fillId="37" borderId="0" applyAlignment="1">
      <alignment vertical="center"/>
    </xf>
    <xf numFmtId="0" fontId="23" fillId="38" borderId="0" applyAlignment="1">
      <alignment vertical="center"/>
    </xf>
    <xf numFmtId="0" fontId="22" fillId="39" borderId="0" applyAlignment="1">
      <alignment vertical="center"/>
    </xf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2"/>
  <sheetViews>
    <sheetView tabSelected="1" topLeftCell="AF1" workbookViewId="0">
      <selection activeCell="V15" sqref="V15"/>
    </sheetView>
  </sheetViews>
  <sheetFormatPr baseColWidth="8" defaultColWidth="9" defaultRowHeight="14.5"/>
  <cols>
    <col width="12" customWidth="1" min="1" max="1"/>
    <col width="20" customWidth="1" min="2" max="2"/>
    <col width="14" customWidth="1" min="3" max="3"/>
    <col width="8" customWidth="1" min="4" max="4"/>
    <col width="10" customWidth="1" min="5" max="5"/>
    <col width="16" customWidth="1" min="6" max="7"/>
    <col width="18" customWidth="1" min="8" max="8"/>
    <col width="16" customWidth="1" min="9" max="10"/>
    <col width="15" customWidth="1" min="11" max="11"/>
    <col width="18" customWidth="1" min="12" max="12"/>
    <col width="16" customWidth="1" min="13" max="14"/>
    <col width="24" customWidth="1" min="15" max="21"/>
    <col width="15" customWidth="1" min="22" max="23"/>
    <col width="18" customWidth="1" min="24" max="25"/>
    <col width="15" customWidth="1" min="26" max="26"/>
    <col width="14" customWidth="1" min="27" max="30"/>
    <col width="15" customWidth="1" min="31" max="31"/>
    <col width="16" customWidth="1" min="32" max="37"/>
    <col width="15" customWidth="1" min="38" max="39"/>
    <col width="16" customWidth="1" min="40" max="40"/>
    <col width="18" customWidth="1" min="41" max="41"/>
    <col width="14" customWidth="1" min="42" max="42"/>
    <col width="18" customWidth="1" min="43" max="43"/>
    <col width="32" customWidth="1" min="44" max="44"/>
    <col width="45" customWidth="1" min="45" max="45"/>
  </cols>
  <sheetData>
    <row r="1" ht="28" customHeight="1">
      <c r="A1" s="1" t="inlineStr">
        <is>
          <t>ID_Participante</t>
        </is>
      </c>
      <c r="B1" s="1" t="inlineStr">
        <is>
          <t>Nome_Abreviado</t>
        </is>
      </c>
      <c r="C1" s="1" t="inlineStr">
        <is>
          <t>Data_Coleta</t>
        </is>
      </c>
      <c r="D1" s="1" t="inlineStr">
        <is>
          <t>Sexo</t>
        </is>
      </c>
      <c r="E1" s="1" t="inlineStr">
        <is>
          <t>Idade_anos</t>
        </is>
      </c>
      <c r="F1" s="1" t="inlineStr">
        <is>
          <t>Massa_Corporal_kg</t>
        </is>
      </c>
      <c r="G1" s="1" t="inlineStr">
        <is>
          <t>Estatura_cm</t>
        </is>
      </c>
      <c r="H1" s="2" t="inlineStr">
        <is>
          <t>BIA_Percentual_Gordura_pct</t>
        </is>
      </c>
      <c r="I1" s="2" t="inlineStr">
        <is>
          <t>BIA_Massa_Livre_Gordura_kg</t>
        </is>
      </c>
      <c r="J1" s="2" t="inlineStr">
        <is>
          <t>BIA_Massa_Gorda_kg</t>
        </is>
      </c>
      <c r="K1" s="2" t="inlineStr">
        <is>
          <t>BIA_Angulo_Fase_deg</t>
        </is>
      </c>
      <c r="L1" s="2" t="inlineStr">
        <is>
          <t>IMLG_FFMI_kg_m2</t>
        </is>
      </c>
      <c r="M1" s="2" t="inlineStr">
        <is>
          <t>BIA_Resistencia_ohms</t>
        </is>
      </c>
      <c r="N1" s="2" t="inlineStr">
        <is>
          <t>BIA_Reatancia_ohms</t>
        </is>
      </c>
      <c r="O1" s="11" t="inlineStr">
        <is>
          <t>BIA_Nivel_Atividade</t>
        </is>
      </c>
      <c r="P1" s="1" t="inlineStr">
        <is>
          <t>Membro_Dominante</t>
        </is>
      </c>
      <c r="Q1" s="3" t="inlineStr">
        <is>
          <t>FPM_Dom_T1_kgf</t>
        </is>
      </c>
      <c r="R1" s="3" t="inlineStr">
        <is>
          <t>FPM_Dom_T2_kgf</t>
        </is>
      </c>
      <c r="S1" s="3" t="inlineStr">
        <is>
          <t>FPM_Dom_T3_kgf</t>
        </is>
      </c>
      <c r="T1" s="3" t="inlineStr">
        <is>
          <t>FPM_NaoDom_T1_kgf</t>
        </is>
      </c>
      <c r="U1" s="3" t="inlineStr">
        <is>
          <t>FPM_NaoDom_T2_kgf</t>
        </is>
      </c>
      <c r="V1" s="3" t="inlineStr">
        <is>
          <t>FPM_NaoDom_T3_kgf</t>
        </is>
      </c>
      <c r="W1" s="3" t="inlineStr">
        <is>
          <t>FPM_Max_Dom_kgf</t>
        </is>
      </c>
      <c r="X1" s="3" t="inlineStr">
        <is>
          <t>FPM_Max_NaoDom_kgf</t>
        </is>
      </c>
      <c r="Y1" s="3" t="inlineStr">
        <is>
          <t>FPM_Relativa_kgf_kg</t>
        </is>
      </c>
      <c r="Z1" s="4" t="inlineStr">
        <is>
          <t>PR_Conhecida_1RM_kg</t>
        </is>
      </c>
      <c r="AA1" s="4" t="inlineStr">
        <is>
          <t>Estagio_1_kg</t>
        </is>
      </c>
      <c r="AB1" s="4" t="inlineStr">
        <is>
          <t>Estagio_2_kg</t>
        </is>
      </c>
      <c r="AC1" s="4" t="inlineStr">
        <is>
          <t>Estagio_3_kg</t>
        </is>
      </c>
      <c r="AD1" s="4" t="inlineStr">
        <is>
          <t>Estagio_4_kg</t>
        </is>
      </c>
      <c r="AE1" s="4" t="inlineStr">
        <is>
          <t>Estagio_5_kg</t>
        </is>
      </c>
      <c r="AF1" s="4" t="inlineStr">
        <is>
          <t>Estagio_6_kg</t>
        </is>
      </c>
      <c r="AG1" s="4" t="inlineStr">
        <is>
          <t>Estagio_Final_kg</t>
        </is>
      </c>
      <c r="AH1" s="4" t="inlineStr">
        <is>
          <t>Carga_1RM_Validada_kg</t>
        </is>
      </c>
      <c r="AI1" s="4" t="inlineStr">
        <is>
          <t>1RM_Relativa_kg_kg</t>
        </is>
      </c>
      <c r="AJ1" s="5" t="inlineStr">
        <is>
          <t>Resistencia_WallHS_T1_s</t>
        </is>
      </c>
      <c r="AK1" s="5" t="inlineStr">
        <is>
          <t>Resistencia_WallHS_T2_s</t>
        </is>
      </c>
      <c r="AL1" s="5" t="inlineStr">
        <is>
          <t>Resistencia_WallHS_Max_s</t>
        </is>
      </c>
      <c r="AM1" s="1" t="inlineStr">
        <is>
          <t>FFP_Biodex_Dom_Nm</t>
        </is>
      </c>
      <c r="AN1" s="1" t="inlineStr">
        <is>
          <t>FFP_Biodex_NaoDom_Nm</t>
        </is>
      </c>
      <c r="AO1" s="1" t="inlineStr">
        <is>
          <t>FFP_Biodex_Media_Nm</t>
        </is>
      </c>
      <c r="AP1" s="1" t="inlineStr">
        <is>
          <t>FFP_Biodex_Relativo_Nm_kg</t>
        </is>
      </c>
      <c r="AQ1" s="1" t="inlineStr">
        <is>
          <t>LSI_FFP_pct</t>
        </is>
      </c>
      <c r="AR1" s="6" t="inlineStr">
        <is>
          <t>Relatorio_BIA_PDF</t>
        </is>
      </c>
      <c r="AS1" s="6" t="inlineStr">
        <is>
          <t>Relatorio_Biodex_PDF</t>
        </is>
      </c>
      <c r="AT1" s="6" t="inlineStr">
        <is>
          <t>Observacoes_Sessao</t>
        </is>
      </c>
    </row>
    <row r="2" ht="20" customHeight="1">
      <c r="A2" s="7" t="inlineStr">
        <is>
          <t>ex: P001</t>
        </is>
      </c>
      <c r="B2" s="7" t="inlineStr">
        <is>
          <t>ex: Gui Lemos</t>
        </is>
      </c>
      <c r="C2" s="7" t="inlineStr">
        <is>
          <t>DD/MM/AAAA</t>
        </is>
      </c>
      <c r="D2" s="7" t="inlineStr">
        <is>
          <t>M / F</t>
        </is>
      </c>
      <c r="E2" s="7" t="inlineStr">
        <is>
          <t>anos</t>
        </is>
      </c>
      <c r="F2" s="7" t="inlineStr">
        <is>
          <t>Balança (kg)</t>
        </is>
      </c>
      <c r="G2" s="7" t="inlineStr">
        <is>
          <t>Estadiômetro (cm)</t>
        </is>
      </c>
      <c r="H2" s="7" t="inlineStr">
        <is>
          <t>% Gordura (Sun 2003)</t>
        </is>
      </c>
      <c r="I2" s="7" t="inlineStr">
        <is>
          <t>MLG / FFM (kg)</t>
        </is>
      </c>
      <c r="J2" s="7" t="inlineStr">
        <is>
          <t>Gordura Total (kg)</t>
        </is>
      </c>
      <c r="K2" s="7" t="inlineStr">
        <is>
          <t>Ângulo Fase (°)</t>
        </is>
      </c>
      <c r="L2" s="7" t="inlineStr">
        <is>
          <t>[Fórmula Auto] (kg/m²)</t>
        </is>
      </c>
      <c r="M2" s="7" t="inlineStr">
        <is>
          <t>Resistência R (Ω)</t>
        </is>
      </c>
      <c r="N2" s="7" t="inlineStr">
        <is>
          <t>Reatância Xc (Ω)</t>
        </is>
      </c>
      <c r="O2" s="12" t="inlineStr">
        <is>
          <t>Nível BIA Sanny (ex: Muito Ativo)</t>
        </is>
      </c>
      <c r="P2" s="7" t="inlineStr">
        <is>
          <t>D ou E</t>
        </is>
      </c>
      <c r="Q2" s="7" t="inlineStr">
        <is>
          <t>Dominante T1</t>
        </is>
      </c>
      <c r="R2" s="7" t="inlineStr">
        <is>
          <t>Dominante T2</t>
        </is>
      </c>
      <c r="S2" s="7" t="inlineStr">
        <is>
          <t>Dominante T3</t>
        </is>
      </c>
      <c r="T2" s="7" t="inlineStr">
        <is>
          <t>Não-Dom T1</t>
        </is>
      </c>
      <c r="U2" s="7" t="inlineStr">
        <is>
          <t>Não-Dom T2</t>
        </is>
      </c>
      <c r="V2" s="7" t="inlineStr">
        <is>
          <t>Não-Dom T3</t>
        </is>
      </c>
      <c r="W2" s="7" t="inlineStr">
        <is>
          <t>[Fórmula Auto]</t>
        </is>
      </c>
      <c r="X2" s="7" t="inlineStr">
        <is>
          <t>[Fórmula Auto]</t>
        </is>
      </c>
      <c r="Y2" s="7" t="inlineStr">
        <is>
          <t>[Fórmula Auto] (kgf/kg)</t>
        </is>
      </c>
      <c r="Z2" s="7" t="inlineStr">
        <is>
          <t>Opcional (se souber)</t>
        </is>
      </c>
      <c r="AA2" s="7" t="inlineStr">
        <is>
          <t>40% MC / 50% PR</t>
        </is>
      </c>
      <c r="AB2" s="7" t="inlineStr">
        <is>
          <t>60% Estimado</t>
        </is>
      </c>
      <c r="AC2" s="7" t="inlineStr">
        <is>
          <t>70% Estimado</t>
        </is>
      </c>
      <c r="AD2" s="7" t="inlineStr">
        <is>
          <t>80% Estimado</t>
        </is>
      </c>
      <c r="AE2" s="7" t="inlineStr">
        <is>
          <t>90% Estimado</t>
        </is>
      </c>
      <c r="AF2" s="7" t="inlineStr">
        <is>
          <t>100% Estimado</t>
        </is>
      </c>
      <c r="AG2" s="7" t="inlineStr">
        <is>
          <t>Carga Real 1-RM (kg)</t>
        </is>
      </c>
      <c r="AH2" s="7" t="inlineStr">
        <is>
          <t>Carga Real Validada</t>
        </is>
      </c>
      <c r="AI2" s="7" t="inlineStr">
        <is>
          <t>[Fórmula Auto]</t>
        </is>
      </c>
      <c r="AJ2" s="7" t="inlineStr">
        <is>
          <t>Tentativa 1 (seg)</t>
        </is>
      </c>
      <c r="AK2" s="7" t="inlineStr">
        <is>
          <t>Tentativa 2 (seg)</t>
        </is>
      </c>
      <c r="AL2" s="7" t="inlineStr">
        <is>
          <t>[Fórmula Auto]</t>
        </is>
      </c>
      <c r="AM2" s="7" t="inlineStr">
        <is>
          <t>ex: 20.0</t>
        </is>
      </c>
      <c r="AN2" s="7" t="inlineStr">
        <is>
          <t>ex: 20.0</t>
        </is>
      </c>
      <c r="AO2" s="7" t="inlineStr">
        <is>
          <t>[Fórmula Auto]</t>
        </is>
      </c>
      <c r="AP2" s="7" t="inlineStr">
        <is>
          <t>[Fórmula Auto]</t>
        </is>
      </c>
      <c r="AQ2" s="7" t="inlineStr">
        <is>
          <t>[Fórmula Auto]</t>
        </is>
      </c>
      <c r="AR2" s="7" t="inlineStr">
        <is>
          <t>[ID]_sanny.pdf</t>
        </is>
      </c>
      <c r="AS2" s="7" t="inlineStr">
        <is>
          <t>[ID]_biodex.pdf</t>
        </is>
      </c>
      <c r="AT2" s="7" t="inlineStr">
        <is>
          <t>Intercorrências / Notas</t>
        </is>
      </c>
    </row>
    <row r="3">
      <c r="A3" s="8" t="inlineStr">
        <is>
          <t>P001</t>
        </is>
      </c>
      <c r="B3" s="9" t="inlineStr">
        <is>
          <t>Gustavo Donato</t>
        </is>
      </c>
      <c r="C3" s="8" t="inlineStr">
        <is>
          <t>02/09/2026</t>
        </is>
      </c>
      <c r="D3" s="8" t="inlineStr">
        <is>
          <t>M</t>
        </is>
      </c>
      <c r="E3" s="8" t="n">
        <v>20</v>
      </c>
      <c r="F3" s="10" t="n">
        <v>65.25</v>
      </c>
      <c r="G3" s="10" t="n">
        <v>171</v>
      </c>
      <c r="H3" s="10" t="n">
        <v>16.56</v>
      </c>
      <c r="I3" s="10" t="n">
        <v>54.4</v>
      </c>
      <c r="J3" s="10" t="n">
        <v>10.8</v>
      </c>
      <c r="K3" s="10" t="n">
        <v>8.98</v>
      </c>
      <c r="L3" s="10">
        <f>IF(AND(G3&gt;0,I3&gt;0),ROUND(I3/((G3/100)^2),2),"")</f>
        <v/>
      </c>
      <c r="M3" s="10" t="n">
        <v>497.9</v>
      </c>
      <c r="N3" s="10" t="n">
        <v>78.7</v>
      </c>
      <c r="O3" s="13" t="inlineStr">
        <is>
          <t>Pouco Ativo</t>
        </is>
      </c>
      <c r="P3" s="8" t="inlineStr">
        <is>
          <t>D</t>
        </is>
      </c>
      <c r="Q3" s="10" t="n">
        <v>46</v>
      </c>
      <c r="R3" s="10" t="n">
        <v>43</v>
      </c>
      <c r="S3" s="10" t="n">
        <v>44</v>
      </c>
      <c r="T3" s="10" t="n">
        <v>52</v>
      </c>
      <c r="U3" s="10" t="n">
        <v>48</v>
      </c>
      <c r="V3" s="10" t="n">
        <v>46</v>
      </c>
      <c r="W3" s="10">
        <f>IF(COUNT(Q3:S3)&gt;0,MAX(Q3:S3),"")</f>
        <v/>
      </c>
      <c r="X3" s="10">
        <f>IF(COUNT(T3:V3)&gt;0,MAX(T3:V3),"")</f>
        <v/>
      </c>
      <c r="Y3" s="10">
        <f>IF(AND(F3&gt;0,COUNT(W3:X3)&gt;0),ROUND(AVERAGE(W3:X3)/F3,4),"")</f>
        <v/>
      </c>
      <c r="Z3" s="10" t="n"/>
      <c r="AA3" s="10">
        <f>IF(Z3&gt;0,ROUND(Z3*0.5,1),IF(F3&gt;0,ROUND(F3*0.4,1),""))</f>
        <v/>
      </c>
      <c r="AB3" s="10">
        <f>IF(Z3&gt;0,ROUND(Z3*0.6,1),IF(AA3&gt;0,ROUND(AA3/0.5*0.6,1),""))</f>
        <v/>
      </c>
      <c r="AC3" s="10">
        <f>IF(Z3&gt;0,ROUND(Z3*0.7,1),IF(AA3&gt;0,ROUND(AA3/0.5*0.7,1),""))</f>
        <v/>
      </c>
      <c r="AD3" s="10">
        <f>IF(Z3&gt;0,ROUND(Z3*0.8,1),IF(AA3&gt;0,ROUND(AA3/0.5*0.8,1),""))</f>
        <v/>
      </c>
      <c r="AE3" s="10">
        <f>IF(Z3&gt;0,ROUND(Z3*0.9,1),IF(AA3&gt;0,ROUND(AA3/0.5*0.9,1),""))</f>
        <v/>
      </c>
      <c r="AF3" s="10">
        <f>IF(Z3&gt;0,Z3,IF(AA3&gt;0,ROUND(AA3/0.5,1),""))</f>
        <v/>
      </c>
      <c r="AG3" s="10" t="n">
        <v>56</v>
      </c>
      <c r="AH3" s="10">
        <f>IF(AG3&gt;0,AG3,"")</f>
        <v/>
      </c>
      <c r="AI3" s="10">
        <f>IF(AND(F3&gt;0,OR(AG3&gt;0,AH3&gt;0)),ROUND(IF(AG3&gt;0,AG3,AH3)/F3,4),"")</f>
        <v/>
      </c>
      <c r="AJ3" s="10" t="n">
        <v>60</v>
      </c>
      <c r="AK3" s="10" t="n">
        <v>64</v>
      </c>
      <c r="AL3" s="10">
        <f>IF(COUNT(AJ3:AK3)&gt;0,MAX(AJ3:AK3),"")</f>
        <v/>
      </c>
      <c r="AM3" s="10" t="n">
        <v>18.5</v>
      </c>
      <c r="AN3" s="10" t="n">
        <v>20.5</v>
      </c>
      <c r="AO3" s="10">
        <f>IF(COUNT(AM3:AN3)&gt;0,ROUND(AVERAGE(AM3:AN3),2),"")</f>
        <v/>
      </c>
      <c r="AP3" s="10">
        <f>IF(AND(F3&gt;0,AO3&gt;0),ROUND(AO3/F3,4),"")</f>
        <v/>
      </c>
      <c r="AQ3" s="10">
        <f>IF(AND(AM3&gt;0,AN3&gt;0),ROUND((AN3/AM3)*100,2),"")</f>
        <v/>
      </c>
      <c r="AR3" s="9" t="inlineStr">
        <is>
          <t>P001_sanny.pdf</t>
        </is>
      </c>
      <c r="AS3" s="9" t="inlineStr">
        <is>
          <t>P001_biodex.pdf | P001_l3_biodex.pdf</t>
        </is>
      </c>
      <c r="AT3" s="9" t="inlineStr">
        <is>
          <t>Biodex bilateral completo (D: 18.5 Nm, E: 20.5 Nm, LSI: 110.8%, Curvas a 100 Hz salvas)</t>
        </is>
      </c>
    </row>
    <row r="4">
      <c r="A4" s="8" t="inlineStr">
        <is>
          <t>P002</t>
        </is>
      </c>
      <c r="B4" s="9" t="inlineStr">
        <is>
          <t>Guilherme Lemos</t>
        </is>
      </c>
      <c r="C4" s="8" t="inlineStr">
        <is>
          <t>14/09/2026</t>
        </is>
      </c>
      <c r="D4" s="8" t="inlineStr">
        <is>
          <t>M</t>
        </is>
      </c>
      <c r="E4" s="8" t="n">
        <v>42</v>
      </c>
      <c r="F4" s="10" t="n">
        <v>87.2</v>
      </c>
      <c r="G4" s="10" t="n">
        <v>171</v>
      </c>
      <c r="H4" s="10" t="n">
        <v>19.4</v>
      </c>
      <c r="I4" s="10" t="n">
        <v>70.45</v>
      </c>
      <c r="J4" s="10" t="n">
        <v>16.95</v>
      </c>
      <c r="K4" s="10" t="n">
        <v>6.78</v>
      </c>
      <c r="L4" s="10">
        <f>IF(AND(G4&gt;0,I4&gt;0),ROUND(I4/((G4/100)^2),2),"")</f>
        <v/>
      </c>
      <c r="M4" s="10" t="n">
        <v>373.1</v>
      </c>
      <c r="N4" s="10" t="n">
        <v>44.4</v>
      </c>
      <c r="O4" s="13" t="inlineStr">
        <is>
          <t>Muito Ativo</t>
        </is>
      </c>
      <c r="P4" s="8" t="inlineStr">
        <is>
          <t>D</t>
        </is>
      </c>
      <c r="Q4" s="10" t="n">
        <v>52</v>
      </c>
      <c r="R4" s="10" t="n">
        <v>48</v>
      </c>
      <c r="S4" s="10" t="n">
        <v>52</v>
      </c>
      <c r="T4" s="10" t="n">
        <v>44</v>
      </c>
      <c r="U4" s="10" t="n">
        <v>53</v>
      </c>
      <c r="V4" s="10" t="n">
        <v>52</v>
      </c>
      <c r="W4" s="10">
        <f>IF(COUNT(Q4:S4)&gt;0,MAX(Q4:S4),"")</f>
        <v/>
      </c>
      <c r="X4" s="10">
        <f>IF(COUNT(T4:V4)&gt;0,MAX(T4:V4),"")</f>
        <v/>
      </c>
      <c r="Y4" s="10">
        <f>IF(AND(F4&gt;0,COUNT(W4:X4)&gt;0),ROUND(AVERAGE(W4:X4)/F4,4),"")</f>
        <v/>
      </c>
      <c r="Z4" s="10" t="n"/>
      <c r="AA4" s="10">
        <f>IF(Z4&gt;0,ROUND(Z4*0.5,1),IF(F4&gt;0,ROUND(F4*0.4,1),""))</f>
        <v/>
      </c>
      <c r="AB4" s="10">
        <f>IF(Z4&gt;0,ROUND(Z4*0.6,1),IF(AA4&gt;0,ROUND(AA4/0.5*0.6,1),""))</f>
        <v/>
      </c>
      <c r="AC4" s="10">
        <f>IF(Z4&gt;0,ROUND(Z4*0.7,1),IF(AA4&gt;0,ROUND(AA4/0.5*0.7,1),""))</f>
        <v/>
      </c>
      <c r="AD4" s="10">
        <f>IF(Z4&gt;0,ROUND(Z4*0.8,1),IF(AA4&gt;0,ROUND(AA4/0.5*0.8,1),""))</f>
        <v/>
      </c>
      <c r="AE4" s="10">
        <f>IF(Z4&gt;0,ROUND(Z4*0.9,1),IF(AA4&gt;0,ROUND(AA4/0.5*0.9,1),""))</f>
        <v/>
      </c>
      <c r="AF4" s="10">
        <f>IF(Z4&gt;0,Z4,IF(AA4&gt;0,ROUND(AA4/0.5,1),""))</f>
        <v/>
      </c>
      <c r="AG4" s="10" t="n">
        <v>66</v>
      </c>
      <c r="AH4" s="10">
        <f>IF(AG4&gt;0,AG4,"")</f>
        <v/>
      </c>
      <c r="AI4" s="10">
        <f>IF(AND(F4&gt;0,OR(AG4&gt;0,AH4&gt;0)),ROUND(IF(AG4&gt;0,AG4,AH4)/F4,4),"")</f>
        <v/>
      </c>
      <c r="AJ4" s="10" t="n">
        <v>92</v>
      </c>
      <c r="AK4" s="10" t="n">
        <v>101</v>
      </c>
      <c r="AL4" s="10">
        <f>IF(COUNT(AJ4:AK4)&gt;0,MAX(AJ4:AK4),"")</f>
        <v/>
      </c>
      <c r="AM4" s="10" t="n">
        <v>12.9</v>
      </c>
      <c r="AN4" s="10" t="n">
        <v>17.1</v>
      </c>
      <c r="AO4" s="10">
        <f>IF(COUNT(AM4:AN4)&gt;0,ROUND(AVERAGE(AM4:AN4),2),"")</f>
        <v/>
      </c>
      <c r="AP4" s="10">
        <f>IF(AND(F4&gt;0,AO4&gt;0),ROUND(AO4/F4,4),"")</f>
        <v/>
      </c>
      <c r="AQ4" s="10">
        <f>IF(AND(AM4&gt;0,AN4&gt;0),ROUND((AN4/AM4)*100,2),"")</f>
        <v/>
      </c>
      <c r="AR4" s="9" t="inlineStr">
        <is>
          <t>P002_sanny.pdf</t>
        </is>
      </c>
      <c r="AS4" s="9" t="inlineStr">
        <is>
          <t>P002_BIODEX.pdf | P002_LEFT_BIODEX.pdf</t>
        </is>
      </c>
      <c r="AT4" s="9" t="inlineStr">
        <is>
          <t>Biodex bilateral completo (D: 12.9 Nm, E: 17.1 Nm, LSI: 132.6%, Curvas a 100 Hz salvas)</t>
        </is>
      </c>
    </row>
    <row r="5">
      <c r="A5" s="8" t="inlineStr">
        <is>
          <t>P003</t>
        </is>
      </c>
      <c r="B5" s="9" t="n"/>
      <c r="C5" s="8" t="n"/>
      <c r="D5" s="8" t="n"/>
      <c r="E5" s="8" t="n"/>
      <c r="F5" s="10" t="n"/>
      <c r="G5" s="10" t="n"/>
      <c r="H5" s="10" t="n"/>
      <c r="I5" s="10" t="n"/>
      <c r="J5" s="10" t="n"/>
      <c r="K5" s="10" t="n"/>
      <c r="L5" s="10">
        <f>IF(AND(G5&gt;0,I5&gt;0),ROUND(I5/((G5/100)^2),2),"")</f>
        <v/>
      </c>
      <c r="M5" s="10" t="n"/>
      <c r="N5" s="10" t="n"/>
      <c r="O5" s="13" t="n"/>
      <c r="P5" s="8" t="inlineStr">
        <is>
          <t>D</t>
        </is>
      </c>
      <c r="Q5" s="10" t="n"/>
      <c r="R5" s="10" t="n"/>
      <c r="S5" s="10" t="n"/>
      <c r="T5" s="10" t="n"/>
      <c r="U5" s="10" t="n"/>
      <c r="V5" s="10" t="n"/>
      <c r="W5" s="10">
        <f>IF(COUNT(Q5:S5)&gt;0,MAX(Q5:S5),"")</f>
        <v/>
      </c>
      <c r="X5" s="10">
        <f>IF(COUNT(T5:V5)&gt;0,MAX(T5:V5),"")</f>
        <v/>
      </c>
      <c r="Y5" s="10">
        <f>IF(AND(F5&gt;0,COUNT(W5:X5)&gt;0),ROUND(AVERAGE(W5:X5)/F5,4),"")</f>
        <v/>
      </c>
      <c r="Z5" s="10" t="n"/>
      <c r="AA5" s="10">
        <f>IF(Z5&gt;0,ROUND(Z5*0.5,1),IF(F5&gt;0,ROUND(F5*0.4,1),""))</f>
        <v/>
      </c>
      <c r="AB5" s="10">
        <f>IF(Z5&gt;0,ROUND(Z5*0.6,1),IF(AA5&gt;0,ROUND(AA5/0.5*0.6,1),""))</f>
        <v/>
      </c>
      <c r="AC5" s="10">
        <f>IF(Z5&gt;0,ROUND(Z5*0.7,1),IF(AA5&gt;0,ROUND(AA5/0.5*0.7,1),""))</f>
        <v/>
      </c>
      <c r="AD5" s="10">
        <f>IF(Z5&gt;0,ROUND(Z5*0.8,1),IF(AA5&gt;0,ROUND(AA5/0.5*0.8,1),""))</f>
        <v/>
      </c>
      <c r="AE5" s="10">
        <f>IF(Z5&gt;0,ROUND(Z5*0.9,1),IF(AA5&gt;0,ROUND(AA5/0.5*0.9,1),""))</f>
        <v/>
      </c>
      <c r="AF5" s="10">
        <f>IF(Z5&gt;0,Z5,IF(AA5&gt;0,ROUND(AA5/0.5,1),""))</f>
        <v/>
      </c>
      <c r="AG5" s="10" t="n"/>
      <c r="AH5" s="10">
        <f>IF(AG5&gt;0,AG5,"")</f>
        <v/>
      </c>
      <c r="AI5" s="10">
        <f>IF(AND(F5&gt;0,OR(AG5&gt;0,AH5&gt;0)),ROUND(IF(AG5&gt;0,AG5,AH5)/F5,4),"")</f>
        <v/>
      </c>
      <c r="AJ5" s="10" t="n"/>
      <c r="AK5" s="10" t="n"/>
      <c r="AL5" s="10">
        <f>IF(COUNT(AJ5:AK5)&gt;0,MAX(AJ5:AK5),"")</f>
        <v/>
      </c>
      <c r="AM5" s="10" t="n"/>
      <c r="AN5" s="10" t="n"/>
      <c r="AO5" s="10">
        <f>IF(COUNT(AM5:AN5)&gt;0,ROUND(AVERAGE(AM5:AN5),2),"")</f>
        <v/>
      </c>
      <c r="AP5" s="10">
        <f>IF(AND(F5&gt;0,AO5&gt;0),ROUND(AO5/F5,4),"")</f>
        <v/>
      </c>
      <c r="AQ5" s="10">
        <f>IF(AND(AM5&gt;0,AN5&gt;0),ROUND((AN5/AM5)*100,2),"")</f>
        <v/>
      </c>
      <c r="AR5" s="9" t="inlineStr">
        <is>
          <t>P003_sanny.pdf</t>
        </is>
      </c>
      <c r="AS5" s="9" t="inlineStr">
        <is>
          <t>P003_biodex.pdf</t>
        </is>
      </c>
      <c r="AT5" s="9" t="n"/>
    </row>
    <row r="6">
      <c r="A6" s="8" t="inlineStr">
        <is>
          <t>P004</t>
        </is>
      </c>
      <c r="B6" s="9" t="n"/>
      <c r="C6" s="8" t="n"/>
      <c r="D6" s="8" t="n"/>
      <c r="E6" s="8" t="n"/>
      <c r="F6" s="10" t="n"/>
      <c r="G6" s="10" t="n"/>
      <c r="H6" s="10" t="n"/>
      <c r="I6" s="10" t="n"/>
      <c r="J6" s="10" t="n"/>
      <c r="K6" s="10" t="n"/>
      <c r="L6" s="10">
        <f>IF(AND(G6&gt;0,I6&gt;0),ROUND(I6/((G6/100)^2),2),"")</f>
        <v/>
      </c>
      <c r="M6" s="10" t="n"/>
      <c r="N6" s="10" t="n"/>
      <c r="O6" s="13" t="n"/>
      <c r="P6" s="8" t="inlineStr">
        <is>
          <t>D</t>
        </is>
      </c>
      <c r="Q6" s="10" t="n"/>
      <c r="R6" s="10" t="n"/>
      <c r="S6" s="10" t="n"/>
      <c r="T6" s="10" t="n"/>
      <c r="U6" s="10" t="n"/>
      <c r="V6" s="10" t="n"/>
      <c r="W6" s="10">
        <f>IF(COUNT(Q6:S6)&gt;0,MAX(Q6:S6),"")</f>
        <v/>
      </c>
      <c r="X6" s="10">
        <f>IF(COUNT(T6:V6)&gt;0,MAX(T6:V6),"")</f>
        <v/>
      </c>
      <c r="Y6" s="10">
        <f>IF(AND(F6&gt;0,COUNT(W6:X6)&gt;0),ROUND(AVERAGE(W6:X6)/F6,4),"")</f>
        <v/>
      </c>
      <c r="Z6" s="10" t="n"/>
      <c r="AA6" s="10">
        <f>IF(Z6&gt;0,ROUND(Z6*0.5,1),IF(F6&gt;0,ROUND(F6*0.4,1),""))</f>
        <v/>
      </c>
      <c r="AB6" s="10">
        <f>IF(Z6&gt;0,ROUND(Z6*0.6,1),IF(AA6&gt;0,ROUND(AA6/0.5*0.6,1),""))</f>
        <v/>
      </c>
      <c r="AC6" s="10">
        <f>IF(Z6&gt;0,ROUND(Z6*0.7,1),IF(AA6&gt;0,ROUND(AA6/0.5*0.7,1),""))</f>
        <v/>
      </c>
      <c r="AD6" s="10">
        <f>IF(Z6&gt;0,ROUND(Z6*0.8,1),IF(AA6&gt;0,ROUND(AA6/0.5*0.8,1),""))</f>
        <v/>
      </c>
      <c r="AE6" s="10">
        <f>IF(Z6&gt;0,ROUND(Z6*0.9,1),IF(AA6&gt;0,ROUND(AA6/0.5*0.9,1),""))</f>
        <v/>
      </c>
      <c r="AF6" s="10">
        <f>IF(Z6&gt;0,Z6,IF(AA6&gt;0,ROUND(AA6/0.5,1),""))</f>
        <v/>
      </c>
      <c r="AG6" s="10" t="n"/>
      <c r="AH6" s="10">
        <f>IF(AG6&gt;0,AG6,"")</f>
        <v/>
      </c>
      <c r="AI6" s="10">
        <f>IF(AND(F6&gt;0,OR(AG6&gt;0,AH6&gt;0)),ROUND(IF(AG6&gt;0,AG6,AH6)/F6,4),"")</f>
        <v/>
      </c>
      <c r="AJ6" s="10" t="n"/>
      <c r="AK6" s="10" t="n"/>
      <c r="AL6" s="10">
        <f>IF(COUNT(AJ6:AK6)&gt;0,MAX(AJ6:AK6),"")</f>
        <v/>
      </c>
      <c r="AM6" s="10" t="n"/>
      <c r="AN6" s="10" t="n"/>
      <c r="AO6" s="10">
        <f>IF(COUNT(AM6:AN6)&gt;0,ROUND(AVERAGE(AM6:AN6),2),"")</f>
        <v/>
      </c>
      <c r="AP6" s="10">
        <f>IF(AND(F6&gt;0,AO6&gt;0),ROUND(AO6/F6,4),"")</f>
        <v/>
      </c>
      <c r="AQ6" s="10">
        <f>IF(AND(AM6&gt;0,AN6&gt;0),ROUND((AN6/AM6)*100,2),"")</f>
        <v/>
      </c>
      <c r="AR6" s="9" t="inlineStr">
        <is>
          <t>P004_sanny.pdf</t>
        </is>
      </c>
      <c r="AS6" s="9" t="inlineStr">
        <is>
          <t>P004_biodex.pdf</t>
        </is>
      </c>
      <c r="AT6" s="9" t="n"/>
    </row>
    <row r="7">
      <c r="A7" s="8" t="inlineStr">
        <is>
          <t>P005</t>
        </is>
      </c>
      <c r="B7" s="9" t="n"/>
      <c r="C7" s="8" t="n"/>
      <c r="D7" s="8" t="n"/>
      <c r="E7" s="8" t="n"/>
      <c r="F7" s="10" t="n"/>
      <c r="G7" s="10" t="n"/>
      <c r="H7" s="10" t="n"/>
      <c r="I7" s="10" t="n"/>
      <c r="J7" s="10" t="n"/>
      <c r="K7" s="10" t="n"/>
      <c r="L7" s="10">
        <f>IF(AND(G7&gt;0,I7&gt;0),ROUND(I7/((G7/100)^2),2),"")</f>
        <v/>
      </c>
      <c r="M7" s="10" t="n"/>
      <c r="N7" s="10" t="n"/>
      <c r="O7" s="13" t="n"/>
      <c r="P7" s="8" t="inlineStr">
        <is>
          <t>D</t>
        </is>
      </c>
      <c r="Q7" s="10" t="n"/>
      <c r="R7" s="10" t="n"/>
      <c r="S7" s="10" t="n"/>
      <c r="T7" s="10" t="n"/>
      <c r="U7" s="10" t="n"/>
      <c r="V7" s="10" t="n"/>
      <c r="W7" s="10">
        <f>IF(COUNT(Q7:S7)&gt;0,MAX(Q7:S7),"")</f>
        <v/>
      </c>
      <c r="X7" s="10">
        <f>IF(COUNT(T7:V7)&gt;0,MAX(T7:V7),"")</f>
        <v/>
      </c>
      <c r="Y7" s="10">
        <f>IF(AND(F7&gt;0,COUNT(W7:X7)&gt;0),ROUND(AVERAGE(W7:X7)/F7,4),"")</f>
        <v/>
      </c>
      <c r="Z7" s="10" t="n"/>
      <c r="AA7" s="10">
        <f>IF(Z7&gt;0,ROUND(Z7*0.5,1),IF(F7&gt;0,ROUND(F7*0.4,1),""))</f>
        <v/>
      </c>
      <c r="AB7" s="10">
        <f>IF(Z7&gt;0,ROUND(Z7*0.6,1),IF(AA7&gt;0,ROUND(AA7/0.5*0.6,1),""))</f>
        <v/>
      </c>
      <c r="AC7" s="10">
        <f>IF(Z7&gt;0,ROUND(Z7*0.7,1),IF(AA7&gt;0,ROUND(AA7/0.5*0.7,1),""))</f>
        <v/>
      </c>
      <c r="AD7" s="10">
        <f>IF(Z7&gt;0,ROUND(Z7*0.8,1),IF(AA7&gt;0,ROUND(AA7/0.5*0.8,1),""))</f>
        <v/>
      </c>
      <c r="AE7" s="10">
        <f>IF(Z7&gt;0,ROUND(Z7*0.9,1),IF(AA7&gt;0,ROUND(AA7/0.5*0.9,1),""))</f>
        <v/>
      </c>
      <c r="AF7" s="10">
        <f>IF(Z7&gt;0,Z7,IF(AA7&gt;0,ROUND(AA7/0.5,1),""))</f>
        <v/>
      </c>
      <c r="AG7" s="10" t="n"/>
      <c r="AH7" s="10">
        <f>IF(AG7&gt;0,AG7,"")</f>
        <v/>
      </c>
      <c r="AI7" s="10">
        <f>IF(AND(F7&gt;0,OR(AG7&gt;0,AH7&gt;0)),ROUND(IF(AG7&gt;0,AG7,AH7)/F7,4),"")</f>
        <v/>
      </c>
      <c r="AJ7" s="10" t="n"/>
      <c r="AK7" s="10" t="n"/>
      <c r="AL7" s="10">
        <f>IF(COUNT(AJ7:AK7)&gt;0,MAX(AJ7:AK7),"")</f>
        <v/>
      </c>
      <c r="AM7" s="10" t="n"/>
      <c r="AN7" s="10" t="n"/>
      <c r="AO7" s="10">
        <f>IF(COUNT(AM7:AN7)&gt;0,ROUND(AVERAGE(AM7:AN7),2),"")</f>
        <v/>
      </c>
      <c r="AP7" s="10">
        <f>IF(AND(F7&gt;0,AO7&gt;0),ROUND(AO7/F7,4),"")</f>
        <v/>
      </c>
      <c r="AQ7" s="10">
        <f>IF(AND(AM7&gt;0,AN7&gt;0),ROUND((AN7/AM7)*100,2),"")</f>
        <v/>
      </c>
      <c r="AR7" s="9" t="inlineStr">
        <is>
          <t>P005_sanny.pdf</t>
        </is>
      </c>
      <c r="AS7" s="9" t="inlineStr">
        <is>
          <t>P005_biodex.pdf</t>
        </is>
      </c>
      <c r="AT7" s="9" t="n"/>
    </row>
    <row r="8">
      <c r="A8" s="8" t="inlineStr">
        <is>
          <t>P006</t>
        </is>
      </c>
      <c r="B8" s="9" t="n"/>
      <c r="C8" s="8" t="n"/>
      <c r="D8" s="8" t="n"/>
      <c r="E8" s="8" t="n"/>
      <c r="F8" s="10" t="n"/>
      <c r="G8" s="10" t="n"/>
      <c r="H8" s="10" t="n"/>
      <c r="I8" s="10" t="n"/>
      <c r="J8" s="10" t="n"/>
      <c r="K8" s="10" t="n"/>
      <c r="L8" s="10">
        <f>IF(AND(G8&gt;0,I8&gt;0),ROUND(I8/((G8/100)^2),2),"")</f>
        <v/>
      </c>
      <c r="M8" s="10" t="n"/>
      <c r="N8" s="10" t="n"/>
      <c r="O8" s="13" t="n"/>
      <c r="P8" s="8" t="inlineStr">
        <is>
          <t>D</t>
        </is>
      </c>
      <c r="Q8" s="10" t="n"/>
      <c r="R8" s="10" t="n"/>
      <c r="S8" s="10" t="n"/>
      <c r="T8" s="10" t="n"/>
      <c r="U8" s="10" t="n"/>
      <c r="V8" s="10" t="n"/>
      <c r="W8" s="10">
        <f>IF(COUNT(Q8:S8)&gt;0,MAX(Q8:S8),"")</f>
        <v/>
      </c>
      <c r="X8" s="10">
        <f>IF(COUNT(T8:V8)&gt;0,MAX(T8:V8),"")</f>
        <v/>
      </c>
      <c r="Y8" s="10">
        <f>IF(AND(F8&gt;0,COUNT(W8:X8)&gt;0),ROUND(AVERAGE(W8:X8)/F8,4),"")</f>
        <v/>
      </c>
      <c r="Z8" s="10" t="n"/>
      <c r="AA8" s="10">
        <f>IF(Z8&gt;0,ROUND(Z8*0.5,1),IF(F8&gt;0,ROUND(F8*0.4,1),""))</f>
        <v/>
      </c>
      <c r="AB8" s="10">
        <f>IF(Z8&gt;0,ROUND(Z8*0.6,1),IF(AA8&gt;0,ROUND(AA8/0.5*0.6,1),""))</f>
        <v/>
      </c>
      <c r="AC8" s="10">
        <f>IF(Z8&gt;0,ROUND(Z8*0.7,1),IF(AA8&gt;0,ROUND(AA8/0.5*0.7,1),""))</f>
        <v/>
      </c>
      <c r="AD8" s="10">
        <f>IF(Z8&gt;0,ROUND(Z8*0.8,1),IF(AA8&gt;0,ROUND(AA8/0.5*0.8,1),""))</f>
        <v/>
      </c>
      <c r="AE8" s="10">
        <f>IF(Z8&gt;0,ROUND(Z8*0.9,1),IF(AA8&gt;0,ROUND(AA8/0.5*0.9,1),""))</f>
        <v/>
      </c>
      <c r="AF8" s="10">
        <f>IF(Z8&gt;0,Z8,IF(AA8&gt;0,ROUND(AA8/0.5,1),""))</f>
        <v/>
      </c>
      <c r="AG8" s="10" t="n"/>
      <c r="AH8" s="10">
        <f>IF(AG8&gt;0,AG8,"")</f>
        <v/>
      </c>
      <c r="AI8" s="10">
        <f>IF(AND(F8&gt;0,OR(AG8&gt;0,AH8&gt;0)),ROUND(IF(AG8&gt;0,AG8,AH8)/F8,4),"")</f>
        <v/>
      </c>
      <c r="AJ8" s="10" t="n"/>
      <c r="AK8" s="10" t="n"/>
      <c r="AL8" s="10">
        <f>IF(COUNT(AJ8:AK8)&gt;0,MAX(AJ8:AK8),"")</f>
        <v/>
      </c>
      <c r="AM8" s="10" t="n"/>
      <c r="AN8" s="10" t="n"/>
      <c r="AO8" s="10">
        <f>IF(COUNT(AM8:AN8)&gt;0,ROUND(AVERAGE(AM8:AN8),2),"")</f>
        <v/>
      </c>
      <c r="AP8" s="10">
        <f>IF(AND(F8&gt;0,AO8&gt;0),ROUND(AO8/F8,4),"")</f>
        <v/>
      </c>
      <c r="AQ8" s="10">
        <f>IF(AND(AM8&gt;0,AN8&gt;0),ROUND((AN8/AM8)*100,2),"")</f>
        <v/>
      </c>
      <c r="AR8" s="9" t="inlineStr">
        <is>
          <t>P006_sanny.pdf</t>
        </is>
      </c>
      <c r="AS8" s="9" t="inlineStr">
        <is>
          <t>P006_biodex.pdf</t>
        </is>
      </c>
      <c r="AT8" s="9" t="n"/>
    </row>
    <row r="9">
      <c r="A9" s="8" t="inlineStr">
        <is>
          <t>P007</t>
        </is>
      </c>
      <c r="B9" s="9" t="n"/>
      <c r="C9" s="8" t="n"/>
      <c r="D9" s="8" t="n"/>
      <c r="E9" s="8" t="n"/>
      <c r="F9" s="10" t="n"/>
      <c r="G9" s="10" t="n"/>
      <c r="H9" s="10" t="n"/>
      <c r="I9" s="10" t="n"/>
      <c r="J9" s="10" t="n"/>
      <c r="K9" s="10" t="n"/>
      <c r="L9" s="10">
        <f>IF(AND(G9&gt;0,I9&gt;0),ROUND(I9/((G9/100)^2),2),"")</f>
        <v/>
      </c>
      <c r="M9" s="10" t="n"/>
      <c r="N9" s="10" t="n"/>
      <c r="O9" s="13" t="n"/>
      <c r="P9" s="8" t="inlineStr">
        <is>
          <t>D</t>
        </is>
      </c>
      <c r="Q9" s="10" t="n"/>
      <c r="R9" s="10" t="n"/>
      <c r="S9" s="10" t="n"/>
      <c r="T9" s="10" t="n"/>
      <c r="U9" s="10" t="n"/>
      <c r="V9" s="10" t="n"/>
      <c r="W9" s="10">
        <f>IF(COUNT(Q9:S9)&gt;0,MAX(Q9:S9),"")</f>
        <v/>
      </c>
      <c r="X9" s="10">
        <f>IF(COUNT(T9:V9)&gt;0,MAX(T9:V9),"")</f>
        <v/>
      </c>
      <c r="Y9" s="10">
        <f>IF(AND(F9&gt;0,COUNT(W9:X9)&gt;0),ROUND(AVERAGE(W9:X9)/F9,4),"")</f>
        <v/>
      </c>
      <c r="Z9" s="10" t="n"/>
      <c r="AA9" s="10">
        <f>IF(Z9&gt;0,ROUND(Z9*0.5,1),IF(F9&gt;0,ROUND(F9*0.4,1),""))</f>
        <v/>
      </c>
      <c r="AB9" s="10">
        <f>IF(Z9&gt;0,ROUND(Z9*0.6,1),IF(AA9&gt;0,ROUND(AA9/0.5*0.6,1),""))</f>
        <v/>
      </c>
      <c r="AC9" s="10">
        <f>IF(Z9&gt;0,ROUND(Z9*0.7,1),IF(AA9&gt;0,ROUND(AA9/0.5*0.7,1),""))</f>
        <v/>
      </c>
      <c r="AD9" s="10">
        <f>IF(Z9&gt;0,ROUND(Z9*0.8,1),IF(AA9&gt;0,ROUND(AA9/0.5*0.8,1),""))</f>
        <v/>
      </c>
      <c r="AE9" s="10">
        <f>IF(Z9&gt;0,ROUND(Z9*0.9,1),IF(AA9&gt;0,ROUND(AA9/0.5*0.9,1),""))</f>
        <v/>
      </c>
      <c r="AF9" s="10">
        <f>IF(Z9&gt;0,Z9,IF(AA9&gt;0,ROUND(AA9/0.5,1),""))</f>
        <v/>
      </c>
      <c r="AG9" s="10" t="n"/>
      <c r="AH9" s="10">
        <f>IF(AG9&gt;0,AG9,"")</f>
        <v/>
      </c>
      <c r="AI9" s="10">
        <f>IF(AND(F9&gt;0,OR(AG9&gt;0,AH9&gt;0)),ROUND(IF(AG9&gt;0,AG9,AH9)/F9,4),"")</f>
        <v/>
      </c>
      <c r="AJ9" s="10" t="n"/>
      <c r="AK9" s="10" t="n"/>
      <c r="AL9" s="10">
        <f>IF(COUNT(AJ9:AK9)&gt;0,MAX(AJ9:AK9),"")</f>
        <v/>
      </c>
      <c r="AM9" s="10" t="n"/>
      <c r="AN9" s="10" t="n"/>
      <c r="AO9" s="10">
        <f>IF(COUNT(AM9:AN9)&gt;0,ROUND(AVERAGE(AM9:AN9),2),"")</f>
        <v/>
      </c>
      <c r="AP9" s="10">
        <f>IF(AND(F9&gt;0,AO9&gt;0),ROUND(AO9/F9,4),"")</f>
        <v/>
      </c>
      <c r="AQ9" s="10">
        <f>IF(AND(AM9&gt;0,AN9&gt;0),ROUND((AN9/AM9)*100,2),"")</f>
        <v/>
      </c>
      <c r="AR9" s="9" t="inlineStr">
        <is>
          <t>P007_sanny.pdf</t>
        </is>
      </c>
      <c r="AS9" s="9" t="inlineStr">
        <is>
          <t>P007_biodex.pdf</t>
        </is>
      </c>
      <c r="AT9" s="9" t="n"/>
    </row>
    <row r="10">
      <c r="A10" s="8" t="inlineStr">
        <is>
          <t>P008</t>
        </is>
      </c>
      <c r="B10" s="9" t="n"/>
      <c r="C10" s="8" t="n"/>
      <c r="D10" s="8" t="n"/>
      <c r="E10" s="8" t="n"/>
      <c r="F10" s="10" t="n"/>
      <c r="G10" s="10" t="n"/>
      <c r="H10" s="10" t="n"/>
      <c r="I10" s="10" t="n"/>
      <c r="J10" s="10" t="n"/>
      <c r="K10" s="10" t="n"/>
      <c r="L10" s="10">
        <f>IF(AND(G10&gt;0,I10&gt;0),ROUND(I10/((G10/100)^2),2),"")</f>
        <v/>
      </c>
      <c r="M10" s="10" t="n"/>
      <c r="N10" s="10" t="n"/>
      <c r="O10" s="13" t="n"/>
      <c r="P10" s="8" t="inlineStr">
        <is>
          <t>D</t>
        </is>
      </c>
      <c r="Q10" s="10" t="n"/>
      <c r="R10" s="10" t="n"/>
      <c r="S10" s="10" t="n"/>
      <c r="T10" s="10" t="n"/>
      <c r="U10" s="10" t="n"/>
      <c r="V10" s="10" t="n"/>
      <c r="W10" s="10">
        <f>IF(COUNT(Q10:S10)&gt;0,MAX(Q10:S10),"")</f>
        <v/>
      </c>
      <c r="X10" s="10">
        <f>IF(COUNT(T10:V10)&gt;0,MAX(T10:V10),"")</f>
        <v/>
      </c>
      <c r="Y10" s="10">
        <f>IF(AND(F10&gt;0,COUNT(W10:X10)&gt;0),ROUND(AVERAGE(W10:X10)/F10,4),"")</f>
        <v/>
      </c>
      <c r="Z10" s="10" t="n"/>
      <c r="AA10" s="10">
        <f>IF(Z10&gt;0,ROUND(Z10*0.5,1),IF(F10&gt;0,ROUND(F10*0.4,1),""))</f>
        <v/>
      </c>
      <c r="AB10" s="10">
        <f>IF(Z10&gt;0,ROUND(Z10*0.6,1),IF(AA10&gt;0,ROUND(AA10/0.5*0.6,1),""))</f>
        <v/>
      </c>
      <c r="AC10" s="10">
        <f>IF(Z10&gt;0,ROUND(Z10*0.7,1),IF(AA10&gt;0,ROUND(AA10/0.5*0.7,1),""))</f>
        <v/>
      </c>
      <c r="AD10" s="10">
        <f>IF(Z10&gt;0,ROUND(Z10*0.8,1),IF(AA10&gt;0,ROUND(AA10/0.5*0.8,1),""))</f>
        <v/>
      </c>
      <c r="AE10" s="10">
        <f>IF(Z10&gt;0,ROUND(Z10*0.9,1),IF(AA10&gt;0,ROUND(AA10/0.5*0.9,1),""))</f>
        <v/>
      </c>
      <c r="AF10" s="10">
        <f>IF(Z10&gt;0,Z10,IF(AA10&gt;0,ROUND(AA10/0.5,1),""))</f>
        <v/>
      </c>
      <c r="AG10" s="10" t="n"/>
      <c r="AH10" s="10">
        <f>IF(AG10&gt;0,AG10,"")</f>
        <v/>
      </c>
      <c r="AI10" s="10">
        <f>IF(AND(F10&gt;0,OR(AG10&gt;0,AH10&gt;0)),ROUND(IF(AG10&gt;0,AG10,AH10)/F10,4),"")</f>
        <v/>
      </c>
      <c r="AJ10" s="10" t="n"/>
      <c r="AK10" s="10" t="n"/>
      <c r="AL10" s="10">
        <f>IF(COUNT(AJ10:AK10)&gt;0,MAX(AJ10:AK10),"")</f>
        <v/>
      </c>
      <c r="AM10" s="10" t="n"/>
      <c r="AN10" s="10" t="n"/>
      <c r="AO10" s="10">
        <f>IF(COUNT(AM10:AN10)&gt;0,ROUND(AVERAGE(AM10:AN10),2),"")</f>
        <v/>
      </c>
      <c r="AP10" s="10">
        <f>IF(AND(F10&gt;0,AO10&gt;0),ROUND(AO10/F10,4),"")</f>
        <v/>
      </c>
      <c r="AQ10" s="10">
        <f>IF(AND(AM10&gt;0,AN10&gt;0),ROUND((AN10/AM10)*100,2),"")</f>
        <v/>
      </c>
      <c r="AR10" s="9" t="inlineStr">
        <is>
          <t>P008_sanny.pdf</t>
        </is>
      </c>
      <c r="AS10" s="9" t="inlineStr">
        <is>
          <t>P008_biodex.pdf</t>
        </is>
      </c>
      <c r="AT10" s="9" t="n"/>
    </row>
    <row r="11">
      <c r="A11" s="8" t="inlineStr">
        <is>
          <t>P009</t>
        </is>
      </c>
      <c r="B11" s="9" t="n"/>
      <c r="C11" s="8" t="n"/>
      <c r="D11" s="8" t="n"/>
      <c r="E11" s="8" t="n"/>
      <c r="F11" s="10" t="n"/>
      <c r="G11" s="10" t="n"/>
      <c r="H11" s="10" t="n"/>
      <c r="I11" s="10" t="n"/>
      <c r="J11" s="10" t="n"/>
      <c r="K11" s="10" t="n"/>
      <c r="L11" s="10">
        <f>IF(AND(G11&gt;0,I11&gt;0),ROUND(I11/((G11/100)^2),2),"")</f>
        <v/>
      </c>
      <c r="M11" s="10" t="n"/>
      <c r="N11" s="10" t="n"/>
      <c r="O11" s="13" t="n"/>
      <c r="P11" s="8" t="inlineStr">
        <is>
          <t>D</t>
        </is>
      </c>
      <c r="Q11" s="10" t="n"/>
      <c r="R11" s="10" t="n"/>
      <c r="S11" s="10" t="n"/>
      <c r="T11" s="10" t="n"/>
      <c r="U11" s="10" t="n"/>
      <c r="V11" s="10" t="n"/>
      <c r="W11" s="10">
        <f>IF(COUNT(Q11:S11)&gt;0,MAX(Q11:S11),"")</f>
        <v/>
      </c>
      <c r="X11" s="10">
        <f>IF(COUNT(T11:V11)&gt;0,MAX(T11:V11),"")</f>
        <v/>
      </c>
      <c r="Y11" s="10">
        <f>IF(AND(F11&gt;0,COUNT(W11:X11)&gt;0),ROUND(AVERAGE(W11:X11)/F11,4),"")</f>
        <v/>
      </c>
      <c r="Z11" s="10" t="n"/>
      <c r="AA11" s="10">
        <f>IF(Z11&gt;0,ROUND(Z11*0.5,1),IF(F11&gt;0,ROUND(F11*0.4,1),""))</f>
        <v/>
      </c>
      <c r="AB11" s="10">
        <f>IF(Z11&gt;0,ROUND(Z11*0.6,1),IF(AA11&gt;0,ROUND(AA11/0.5*0.6,1),""))</f>
        <v/>
      </c>
      <c r="AC11" s="10">
        <f>IF(Z11&gt;0,ROUND(Z11*0.7,1),IF(AA11&gt;0,ROUND(AA11/0.5*0.7,1),""))</f>
        <v/>
      </c>
      <c r="AD11" s="10">
        <f>IF(Z11&gt;0,ROUND(Z11*0.8,1),IF(AA11&gt;0,ROUND(AA11/0.5*0.8,1),""))</f>
        <v/>
      </c>
      <c r="AE11" s="10">
        <f>IF(Z11&gt;0,ROUND(Z11*0.9,1),IF(AA11&gt;0,ROUND(AA11/0.5*0.9,1),""))</f>
        <v/>
      </c>
      <c r="AF11" s="10">
        <f>IF(Z11&gt;0,Z11,IF(AA11&gt;0,ROUND(AA11/0.5,1),""))</f>
        <v/>
      </c>
      <c r="AG11" s="10" t="n"/>
      <c r="AH11" s="10">
        <f>IF(AG11&gt;0,AG11,"")</f>
        <v/>
      </c>
      <c r="AI11" s="10">
        <f>IF(AND(F11&gt;0,OR(AG11&gt;0,AH11&gt;0)),ROUND(IF(AG11&gt;0,AG11,AH11)/F11,4),"")</f>
        <v/>
      </c>
      <c r="AJ11" s="10" t="n"/>
      <c r="AK11" s="10" t="n"/>
      <c r="AL11" s="10">
        <f>IF(COUNT(AJ11:AK11)&gt;0,MAX(AJ11:AK11),"")</f>
        <v/>
      </c>
      <c r="AM11" s="10" t="n"/>
      <c r="AN11" s="10" t="n"/>
      <c r="AO11" s="10">
        <f>IF(COUNT(AM11:AN11)&gt;0,ROUND(AVERAGE(AM11:AN11),2),"")</f>
        <v/>
      </c>
      <c r="AP11" s="10">
        <f>IF(AND(F11&gt;0,AO11&gt;0),ROUND(AO11/F11,4),"")</f>
        <v/>
      </c>
      <c r="AQ11" s="10">
        <f>IF(AND(AM11&gt;0,AN11&gt;0),ROUND((AN11/AM11)*100,2),"")</f>
        <v/>
      </c>
      <c r="AR11" s="9" t="inlineStr">
        <is>
          <t>P009_sanny.pdf</t>
        </is>
      </c>
      <c r="AS11" s="9" t="inlineStr">
        <is>
          <t>P009_biodex.pdf</t>
        </is>
      </c>
      <c r="AT11" s="9" t="n"/>
    </row>
    <row r="12">
      <c r="A12" s="8" t="inlineStr">
        <is>
          <t>P010</t>
        </is>
      </c>
      <c r="B12" s="9" t="n"/>
      <c r="C12" s="8" t="n"/>
      <c r="D12" s="8" t="n"/>
      <c r="E12" s="8" t="n"/>
      <c r="F12" s="10" t="n"/>
      <c r="G12" s="10" t="n"/>
      <c r="H12" s="10" t="n"/>
      <c r="I12" s="10" t="n"/>
      <c r="J12" s="10" t="n"/>
      <c r="K12" s="10" t="n"/>
      <c r="L12" s="10">
        <f>IF(AND(G12&gt;0,I12&gt;0),ROUND(I12/((G12/100)^2),2),"")</f>
        <v/>
      </c>
      <c r="M12" s="10" t="n"/>
      <c r="N12" s="10" t="n"/>
      <c r="O12" s="13" t="n"/>
      <c r="P12" s="8" t="inlineStr">
        <is>
          <t>D</t>
        </is>
      </c>
      <c r="Q12" s="10" t="n"/>
      <c r="R12" s="10" t="n"/>
      <c r="S12" s="10" t="n"/>
      <c r="T12" s="10" t="n"/>
      <c r="U12" s="10" t="n"/>
      <c r="V12" s="10" t="n"/>
      <c r="W12" s="10">
        <f>IF(COUNT(Q12:S12)&gt;0,MAX(Q12:S12),"")</f>
        <v/>
      </c>
      <c r="X12" s="10">
        <f>IF(COUNT(T12:V12)&gt;0,MAX(T12:V12),"")</f>
        <v/>
      </c>
      <c r="Y12" s="10">
        <f>IF(AND(F12&gt;0,COUNT(W12:X12)&gt;0),ROUND(AVERAGE(W12:X12)/F12,4),"")</f>
        <v/>
      </c>
      <c r="Z12" s="10" t="n"/>
      <c r="AA12" s="10">
        <f>IF(Z12&gt;0,ROUND(Z12*0.5,1),IF(F12&gt;0,ROUND(F12*0.4,1),""))</f>
        <v/>
      </c>
      <c r="AB12" s="10">
        <f>IF(Z12&gt;0,ROUND(Z12*0.6,1),IF(AA12&gt;0,ROUND(AA12/0.5*0.6,1),""))</f>
        <v/>
      </c>
      <c r="AC12" s="10">
        <f>IF(Z12&gt;0,ROUND(Z12*0.7,1),IF(AA12&gt;0,ROUND(AA12/0.5*0.7,1),""))</f>
        <v/>
      </c>
      <c r="AD12" s="10">
        <f>IF(Z12&gt;0,ROUND(Z12*0.8,1),IF(AA12&gt;0,ROUND(AA12/0.5*0.8,1),""))</f>
        <v/>
      </c>
      <c r="AE12" s="10">
        <f>IF(Z12&gt;0,ROUND(Z12*0.9,1),IF(AA12&gt;0,ROUND(AA12/0.5*0.9,1),""))</f>
        <v/>
      </c>
      <c r="AF12" s="10">
        <f>IF(Z12&gt;0,Z12,IF(AA12&gt;0,ROUND(AA12/0.5,1),""))</f>
        <v/>
      </c>
      <c r="AG12" s="10" t="n"/>
      <c r="AH12" s="10">
        <f>IF(AG12&gt;0,AG12,"")</f>
        <v/>
      </c>
      <c r="AI12" s="10">
        <f>IF(AND(F12&gt;0,OR(AG12&gt;0,AH12&gt;0)),ROUND(IF(AG12&gt;0,AG12,AH12)/F12,4),"")</f>
        <v/>
      </c>
      <c r="AJ12" s="10" t="n"/>
      <c r="AK12" s="10" t="n"/>
      <c r="AL12" s="10">
        <f>IF(COUNT(AJ12:AK12)&gt;0,MAX(AJ12:AK12),"")</f>
        <v/>
      </c>
      <c r="AM12" s="10" t="n"/>
      <c r="AN12" s="10" t="n"/>
      <c r="AO12" s="10">
        <f>IF(COUNT(AM12:AN12)&gt;0,ROUND(AVERAGE(AM12:AN12),2),"")</f>
        <v/>
      </c>
      <c r="AP12" s="10">
        <f>IF(AND(F12&gt;0,AO12&gt;0),ROUND(AO12/F12,4),"")</f>
        <v/>
      </c>
      <c r="AQ12" s="10">
        <f>IF(AND(AM12&gt;0,AN12&gt;0),ROUND((AN12/AM12)*100,2),"")</f>
        <v/>
      </c>
      <c r="AR12" s="9" t="inlineStr">
        <is>
          <t>P010_sanny.pdf</t>
        </is>
      </c>
      <c r="AS12" s="9" t="inlineStr">
        <is>
          <t>P010_biodex.pdf</t>
        </is>
      </c>
      <c r="AT12" s="9" t="n"/>
    </row>
    <row r="13">
      <c r="A13" s="8" t="inlineStr">
        <is>
          <t>P011</t>
        </is>
      </c>
      <c r="B13" s="9" t="n"/>
      <c r="C13" s="8" t="n"/>
      <c r="D13" s="8" t="n"/>
      <c r="E13" s="8" t="n"/>
      <c r="F13" s="10" t="n"/>
      <c r="G13" s="10" t="n"/>
      <c r="H13" s="10" t="n"/>
      <c r="I13" s="10" t="n"/>
      <c r="J13" s="10" t="n"/>
      <c r="K13" s="10" t="n"/>
      <c r="L13" s="10">
        <f>IF(AND(G13&gt;0,I13&gt;0),ROUND(I13/((G13/100)^2),2),"")</f>
        <v/>
      </c>
      <c r="M13" s="10" t="n"/>
      <c r="N13" s="10" t="n"/>
      <c r="O13" s="13" t="n"/>
      <c r="P13" s="8" t="inlineStr">
        <is>
          <t>D</t>
        </is>
      </c>
      <c r="Q13" s="10" t="n"/>
      <c r="R13" s="10" t="n"/>
      <c r="S13" s="10" t="n"/>
      <c r="T13" s="10" t="n"/>
      <c r="U13" s="10" t="n"/>
      <c r="V13" s="10" t="n"/>
      <c r="W13" s="10">
        <f>IF(COUNT(Q13:S13)&gt;0,MAX(Q13:S13),"")</f>
        <v/>
      </c>
      <c r="X13" s="10">
        <f>IF(COUNT(T13:V13)&gt;0,MAX(T13:V13),"")</f>
        <v/>
      </c>
      <c r="Y13" s="10">
        <f>IF(AND(F13&gt;0,COUNT(W13:X13)&gt;0),ROUND(AVERAGE(W13:X13)/F13,4),"")</f>
        <v/>
      </c>
      <c r="Z13" s="10" t="n"/>
      <c r="AA13" s="10">
        <f>IF(Z13&gt;0,ROUND(Z13*0.5,1),IF(F13&gt;0,ROUND(F13*0.4,1),""))</f>
        <v/>
      </c>
      <c r="AB13" s="10">
        <f>IF(Z13&gt;0,ROUND(Z13*0.6,1),IF(AA13&gt;0,ROUND(AA13/0.5*0.6,1),""))</f>
        <v/>
      </c>
      <c r="AC13" s="10">
        <f>IF(Z13&gt;0,ROUND(Z13*0.7,1),IF(AA13&gt;0,ROUND(AA13/0.5*0.7,1),""))</f>
        <v/>
      </c>
      <c r="AD13" s="10">
        <f>IF(Z13&gt;0,ROUND(Z13*0.8,1),IF(AA13&gt;0,ROUND(AA13/0.5*0.8,1),""))</f>
        <v/>
      </c>
      <c r="AE13" s="10">
        <f>IF(Z13&gt;0,ROUND(Z13*0.9,1),IF(AA13&gt;0,ROUND(AA13/0.5*0.9,1),""))</f>
        <v/>
      </c>
      <c r="AF13" s="10">
        <f>IF(Z13&gt;0,Z13,IF(AA13&gt;0,ROUND(AA13/0.5,1),""))</f>
        <v/>
      </c>
      <c r="AG13" s="10" t="n"/>
      <c r="AH13" s="10">
        <f>IF(AG13&gt;0,AG13,"")</f>
        <v/>
      </c>
      <c r="AI13" s="10">
        <f>IF(AND(F13&gt;0,OR(AG13&gt;0,AH13&gt;0)),ROUND(IF(AG13&gt;0,AG13,AH13)/F13,4),"")</f>
        <v/>
      </c>
      <c r="AJ13" s="10" t="n"/>
      <c r="AK13" s="10" t="n"/>
      <c r="AL13" s="10">
        <f>IF(COUNT(AJ13:AK13)&gt;0,MAX(AJ13:AK13),"")</f>
        <v/>
      </c>
      <c r="AM13" s="10" t="n"/>
      <c r="AN13" s="10" t="n"/>
      <c r="AO13" s="10">
        <f>IF(COUNT(AM13:AN13)&gt;0,ROUND(AVERAGE(AM13:AN13),2),"")</f>
        <v/>
      </c>
      <c r="AP13" s="10">
        <f>IF(AND(F13&gt;0,AO13&gt;0),ROUND(AO13/F13,4),"")</f>
        <v/>
      </c>
      <c r="AQ13" s="10">
        <f>IF(AND(AM13&gt;0,AN13&gt;0),ROUND((AN13/AM13)*100,2),"")</f>
        <v/>
      </c>
      <c r="AR13" s="9" t="inlineStr">
        <is>
          <t>P011_sanny.pdf</t>
        </is>
      </c>
      <c r="AS13" s="9" t="inlineStr">
        <is>
          <t>P011_biodex.pdf</t>
        </is>
      </c>
      <c r="AT13" s="9" t="n"/>
    </row>
    <row r="14">
      <c r="A14" s="8" t="inlineStr">
        <is>
          <t>P012</t>
        </is>
      </c>
      <c r="B14" s="9" t="n"/>
      <c r="C14" s="8" t="n"/>
      <c r="D14" s="8" t="n"/>
      <c r="E14" s="8" t="n"/>
      <c r="F14" s="10" t="n"/>
      <c r="G14" s="10" t="n"/>
      <c r="H14" s="10" t="n"/>
      <c r="I14" s="10" t="n"/>
      <c r="J14" s="10" t="n"/>
      <c r="K14" s="10" t="n"/>
      <c r="L14" s="10">
        <f>IF(AND(G14&gt;0,I14&gt;0),ROUND(I14/((G14/100)^2),2),"")</f>
        <v/>
      </c>
      <c r="M14" s="10" t="n"/>
      <c r="N14" s="10" t="n"/>
      <c r="O14" s="13" t="n"/>
      <c r="P14" s="8" t="inlineStr">
        <is>
          <t>D</t>
        </is>
      </c>
      <c r="Q14" s="10" t="n"/>
      <c r="R14" s="10" t="n"/>
      <c r="S14" s="10" t="n"/>
      <c r="T14" s="10" t="n"/>
      <c r="U14" s="10" t="n"/>
      <c r="V14" s="10" t="n"/>
      <c r="W14" s="10">
        <f>IF(COUNT(Q14:S14)&gt;0,MAX(Q14:S14),"")</f>
        <v/>
      </c>
      <c r="X14" s="10">
        <f>IF(COUNT(T14:V14)&gt;0,MAX(T14:V14),"")</f>
        <v/>
      </c>
      <c r="Y14" s="10">
        <f>IF(AND(F14&gt;0,COUNT(W14:X14)&gt;0),ROUND(AVERAGE(W14:X14)/F14,4),"")</f>
        <v/>
      </c>
      <c r="Z14" s="10" t="n"/>
      <c r="AA14" s="10">
        <f>IF(Z14&gt;0,ROUND(Z14*0.5,1),IF(F14&gt;0,ROUND(F14*0.4,1),""))</f>
        <v/>
      </c>
      <c r="AB14" s="10">
        <f>IF(Z14&gt;0,ROUND(Z14*0.6,1),IF(AA14&gt;0,ROUND(AA14/0.5*0.6,1),""))</f>
        <v/>
      </c>
      <c r="AC14" s="10">
        <f>IF(Z14&gt;0,ROUND(Z14*0.7,1),IF(AA14&gt;0,ROUND(AA14/0.5*0.7,1),""))</f>
        <v/>
      </c>
      <c r="AD14" s="10">
        <f>IF(Z14&gt;0,ROUND(Z14*0.8,1),IF(AA14&gt;0,ROUND(AA14/0.5*0.8,1),""))</f>
        <v/>
      </c>
      <c r="AE14" s="10">
        <f>IF(Z14&gt;0,ROUND(Z14*0.9,1),IF(AA14&gt;0,ROUND(AA14/0.5*0.9,1),""))</f>
        <v/>
      </c>
      <c r="AF14" s="10">
        <f>IF(Z14&gt;0,Z14,IF(AA14&gt;0,ROUND(AA14/0.5,1),""))</f>
        <v/>
      </c>
      <c r="AG14" s="10" t="n"/>
      <c r="AH14" s="10">
        <f>IF(AG14&gt;0,AG14,"")</f>
        <v/>
      </c>
      <c r="AI14" s="10">
        <f>IF(AND(F14&gt;0,OR(AG14&gt;0,AH14&gt;0)),ROUND(IF(AG14&gt;0,AG14,AH14)/F14,4),"")</f>
        <v/>
      </c>
      <c r="AJ14" s="10" t="n"/>
      <c r="AK14" s="10" t="n"/>
      <c r="AL14" s="10">
        <f>IF(COUNT(AJ14:AK14)&gt;0,MAX(AJ14:AK14),"")</f>
        <v/>
      </c>
      <c r="AM14" s="10" t="n"/>
      <c r="AN14" s="10" t="n"/>
      <c r="AO14" s="10">
        <f>IF(COUNT(AM14:AN14)&gt;0,ROUND(AVERAGE(AM14:AN14),2),"")</f>
        <v/>
      </c>
      <c r="AP14" s="10">
        <f>IF(AND(F14&gt;0,AO14&gt;0),ROUND(AO14/F14,4),"")</f>
        <v/>
      </c>
      <c r="AQ14" s="10">
        <f>IF(AND(AM14&gt;0,AN14&gt;0),ROUND((AN14/AM14)*100,2),"")</f>
        <v/>
      </c>
      <c r="AR14" s="9" t="inlineStr">
        <is>
          <t>P012_sanny.pdf</t>
        </is>
      </c>
      <c r="AS14" s="9" t="inlineStr">
        <is>
          <t>P012_biodex.pdf</t>
        </is>
      </c>
      <c r="AT14" s="9" t="n"/>
    </row>
    <row r="15">
      <c r="A15" s="8" t="inlineStr">
        <is>
          <t>P013</t>
        </is>
      </c>
      <c r="B15" s="9" t="n"/>
      <c r="C15" s="8" t="n"/>
      <c r="D15" s="8" t="n"/>
      <c r="E15" s="8" t="n"/>
      <c r="F15" s="10" t="n"/>
      <c r="G15" s="10" t="n"/>
      <c r="H15" s="10" t="n"/>
      <c r="I15" s="10" t="n"/>
      <c r="J15" s="10" t="n"/>
      <c r="K15" s="10" t="n"/>
      <c r="L15" s="10">
        <f>IF(AND(G15&gt;0,I15&gt;0),ROUND(I15/((G15/100)^2),2),"")</f>
        <v/>
      </c>
      <c r="M15" s="10" t="n"/>
      <c r="N15" s="10" t="n"/>
      <c r="O15" s="13" t="n"/>
      <c r="P15" s="8" t="inlineStr">
        <is>
          <t>D</t>
        </is>
      </c>
      <c r="Q15" s="10" t="n"/>
      <c r="R15" s="10" t="n"/>
      <c r="S15" s="10" t="n"/>
      <c r="T15" s="10" t="n"/>
      <c r="U15" s="10" t="n"/>
      <c r="V15" s="10" t="n"/>
      <c r="W15" s="10">
        <f>IF(COUNT(Q15:S15)&gt;0,MAX(Q15:S15),"")</f>
        <v/>
      </c>
      <c r="X15" s="10">
        <f>IF(COUNT(T15:V15)&gt;0,MAX(T15:V15),"")</f>
        <v/>
      </c>
      <c r="Y15" s="10">
        <f>IF(AND(F15&gt;0,COUNT(W15:X15)&gt;0),ROUND(AVERAGE(W15:X15)/F15,4),"")</f>
        <v/>
      </c>
      <c r="Z15" s="10" t="n"/>
      <c r="AA15" s="10">
        <f>IF(Z15&gt;0,ROUND(Z15*0.5,1),IF(F15&gt;0,ROUND(F15*0.4,1),""))</f>
        <v/>
      </c>
      <c r="AB15" s="10">
        <f>IF(Z15&gt;0,ROUND(Z15*0.6,1),IF(AA15&gt;0,ROUND(AA15/0.5*0.6,1),""))</f>
        <v/>
      </c>
      <c r="AC15" s="10">
        <f>IF(Z15&gt;0,ROUND(Z15*0.7,1),IF(AA15&gt;0,ROUND(AA15/0.5*0.7,1),""))</f>
        <v/>
      </c>
      <c r="AD15" s="10">
        <f>IF(Z15&gt;0,ROUND(Z15*0.8,1),IF(AA15&gt;0,ROUND(AA15/0.5*0.8,1),""))</f>
        <v/>
      </c>
      <c r="AE15" s="10">
        <f>IF(Z15&gt;0,ROUND(Z15*0.9,1),IF(AA15&gt;0,ROUND(AA15/0.5*0.9,1),""))</f>
        <v/>
      </c>
      <c r="AF15" s="10">
        <f>IF(Z15&gt;0,Z15,IF(AA15&gt;0,ROUND(AA15/0.5,1),""))</f>
        <v/>
      </c>
      <c r="AG15" s="10" t="n"/>
      <c r="AH15" s="10">
        <f>IF(AG15&gt;0,AG15,"")</f>
        <v/>
      </c>
      <c r="AI15" s="10">
        <f>IF(AND(F15&gt;0,OR(AG15&gt;0,AH15&gt;0)),ROUND(IF(AG15&gt;0,AG15,AH15)/F15,4),"")</f>
        <v/>
      </c>
      <c r="AJ15" s="10" t="n"/>
      <c r="AK15" s="10" t="n"/>
      <c r="AL15" s="10">
        <f>IF(COUNT(AJ15:AK15)&gt;0,MAX(AJ15:AK15),"")</f>
        <v/>
      </c>
      <c r="AM15" s="10" t="n"/>
      <c r="AN15" s="10" t="n"/>
      <c r="AO15" s="10">
        <f>IF(COUNT(AM15:AN15)&gt;0,ROUND(AVERAGE(AM15:AN15),2),"")</f>
        <v/>
      </c>
      <c r="AP15" s="10">
        <f>IF(AND(F15&gt;0,AO15&gt;0),ROUND(AO15/F15,4),"")</f>
        <v/>
      </c>
      <c r="AQ15" s="10">
        <f>IF(AND(AM15&gt;0,AN15&gt;0),ROUND((AN15/AM15)*100,2),"")</f>
        <v/>
      </c>
      <c r="AR15" s="9" t="inlineStr">
        <is>
          <t>P013_sanny.pdf</t>
        </is>
      </c>
      <c r="AS15" s="9" t="inlineStr">
        <is>
          <t>P013_biodex.pdf</t>
        </is>
      </c>
      <c r="AT15" s="9" t="n"/>
    </row>
    <row r="16">
      <c r="A16" s="8" t="inlineStr">
        <is>
          <t>P014</t>
        </is>
      </c>
      <c r="B16" s="9" t="n"/>
      <c r="C16" s="8" t="n"/>
      <c r="D16" s="8" t="n"/>
      <c r="E16" s="8" t="n"/>
      <c r="F16" s="10" t="n"/>
      <c r="G16" s="10" t="n"/>
      <c r="H16" s="10" t="n"/>
      <c r="I16" s="10" t="n"/>
      <c r="J16" s="10" t="n"/>
      <c r="K16" s="10" t="n"/>
      <c r="L16" s="10">
        <f>IF(AND(G16&gt;0,I16&gt;0),ROUND(I16/((G16/100)^2),2),"")</f>
        <v/>
      </c>
      <c r="M16" s="10" t="n"/>
      <c r="N16" s="10" t="n"/>
      <c r="O16" s="13" t="n"/>
      <c r="P16" s="8" t="inlineStr">
        <is>
          <t>D</t>
        </is>
      </c>
      <c r="Q16" s="10" t="n"/>
      <c r="R16" s="10" t="n"/>
      <c r="S16" s="10" t="n"/>
      <c r="T16" s="10" t="n"/>
      <c r="U16" s="10" t="n"/>
      <c r="V16" s="10" t="n"/>
      <c r="W16" s="10">
        <f>IF(COUNT(Q16:S16)&gt;0,MAX(Q16:S16),"")</f>
        <v/>
      </c>
      <c r="X16" s="10">
        <f>IF(COUNT(T16:V16)&gt;0,MAX(T16:V16),"")</f>
        <v/>
      </c>
      <c r="Y16" s="10">
        <f>IF(AND(F16&gt;0,COUNT(W16:X16)&gt;0),ROUND(AVERAGE(W16:X16)/F16,4),"")</f>
        <v/>
      </c>
      <c r="Z16" s="10" t="n"/>
      <c r="AA16" s="10">
        <f>IF(Z16&gt;0,ROUND(Z16*0.5,1),IF(F16&gt;0,ROUND(F16*0.4,1),""))</f>
        <v/>
      </c>
      <c r="AB16" s="10">
        <f>IF(Z16&gt;0,ROUND(Z16*0.6,1),IF(AA16&gt;0,ROUND(AA16/0.5*0.6,1),""))</f>
        <v/>
      </c>
      <c r="AC16" s="10">
        <f>IF(Z16&gt;0,ROUND(Z16*0.7,1),IF(AA16&gt;0,ROUND(AA16/0.5*0.7,1),""))</f>
        <v/>
      </c>
      <c r="AD16" s="10">
        <f>IF(Z16&gt;0,ROUND(Z16*0.8,1),IF(AA16&gt;0,ROUND(AA16/0.5*0.8,1),""))</f>
        <v/>
      </c>
      <c r="AE16" s="10">
        <f>IF(Z16&gt;0,ROUND(Z16*0.9,1),IF(AA16&gt;0,ROUND(AA16/0.5*0.9,1),""))</f>
        <v/>
      </c>
      <c r="AF16" s="10">
        <f>IF(Z16&gt;0,Z16,IF(AA16&gt;0,ROUND(AA16/0.5,1),""))</f>
        <v/>
      </c>
      <c r="AG16" s="10" t="n"/>
      <c r="AH16" s="10">
        <f>IF(AG16&gt;0,AG16,"")</f>
        <v/>
      </c>
      <c r="AI16" s="10">
        <f>IF(AND(F16&gt;0,OR(AG16&gt;0,AH16&gt;0)),ROUND(IF(AG16&gt;0,AG16,AH16)/F16,4),"")</f>
        <v/>
      </c>
      <c r="AJ16" s="10" t="n"/>
      <c r="AK16" s="10" t="n"/>
      <c r="AL16" s="10">
        <f>IF(COUNT(AJ16:AK16)&gt;0,MAX(AJ16:AK16),"")</f>
        <v/>
      </c>
      <c r="AM16" s="10" t="n"/>
      <c r="AN16" s="10" t="n"/>
      <c r="AO16" s="10">
        <f>IF(COUNT(AM16:AN16)&gt;0,ROUND(AVERAGE(AM16:AN16),2),"")</f>
        <v/>
      </c>
      <c r="AP16" s="10">
        <f>IF(AND(F16&gt;0,AO16&gt;0),ROUND(AO16/F16,4),"")</f>
        <v/>
      </c>
      <c r="AQ16" s="10">
        <f>IF(AND(AM16&gt;0,AN16&gt;0),ROUND((AN16/AM16)*100,2),"")</f>
        <v/>
      </c>
      <c r="AR16" s="9" t="inlineStr">
        <is>
          <t>P014_sanny.pdf</t>
        </is>
      </c>
      <c r="AS16" s="9" t="inlineStr">
        <is>
          <t>P014_biodex.pdf</t>
        </is>
      </c>
      <c r="AT16" s="9" t="n"/>
    </row>
    <row r="17">
      <c r="A17" s="8" t="inlineStr">
        <is>
          <t>P015</t>
        </is>
      </c>
      <c r="B17" s="9" t="n"/>
      <c r="C17" s="8" t="n"/>
      <c r="D17" s="8" t="n"/>
      <c r="E17" s="8" t="n"/>
      <c r="F17" s="10" t="n"/>
      <c r="G17" s="10" t="n"/>
      <c r="H17" s="10" t="n"/>
      <c r="I17" s="10" t="n"/>
      <c r="J17" s="10" t="n"/>
      <c r="K17" s="10" t="n"/>
      <c r="L17" s="10">
        <f>IF(AND(G17&gt;0,I17&gt;0),ROUND(I17/((G17/100)^2),2),"")</f>
        <v/>
      </c>
      <c r="M17" s="10" t="n"/>
      <c r="N17" s="10" t="n"/>
      <c r="O17" s="13" t="n"/>
      <c r="P17" s="8" t="inlineStr">
        <is>
          <t>D</t>
        </is>
      </c>
      <c r="Q17" s="10" t="n"/>
      <c r="R17" s="10" t="n"/>
      <c r="S17" s="10" t="n"/>
      <c r="T17" s="10" t="n"/>
      <c r="U17" s="10" t="n"/>
      <c r="V17" s="10" t="n"/>
      <c r="W17" s="10">
        <f>IF(COUNT(Q17:S17)&gt;0,MAX(Q17:S17),"")</f>
        <v/>
      </c>
      <c r="X17" s="10">
        <f>IF(COUNT(T17:V17)&gt;0,MAX(T17:V17),"")</f>
        <v/>
      </c>
      <c r="Y17" s="10">
        <f>IF(AND(F17&gt;0,COUNT(W17:X17)&gt;0),ROUND(AVERAGE(W17:X17)/F17,4),"")</f>
        <v/>
      </c>
      <c r="Z17" s="10" t="n"/>
      <c r="AA17" s="10">
        <f>IF(Z17&gt;0,ROUND(Z17*0.5,1),IF(F17&gt;0,ROUND(F17*0.4,1),""))</f>
        <v/>
      </c>
      <c r="AB17" s="10">
        <f>IF(Z17&gt;0,ROUND(Z17*0.6,1),IF(AA17&gt;0,ROUND(AA17/0.5*0.6,1),""))</f>
        <v/>
      </c>
      <c r="AC17" s="10">
        <f>IF(Z17&gt;0,ROUND(Z17*0.7,1),IF(AA17&gt;0,ROUND(AA17/0.5*0.7,1),""))</f>
        <v/>
      </c>
      <c r="AD17" s="10">
        <f>IF(Z17&gt;0,ROUND(Z17*0.8,1),IF(AA17&gt;0,ROUND(AA17/0.5*0.8,1),""))</f>
        <v/>
      </c>
      <c r="AE17" s="10">
        <f>IF(Z17&gt;0,ROUND(Z17*0.9,1),IF(AA17&gt;0,ROUND(AA17/0.5*0.9,1),""))</f>
        <v/>
      </c>
      <c r="AF17" s="10">
        <f>IF(Z17&gt;0,Z17,IF(AA17&gt;0,ROUND(AA17/0.5,1),""))</f>
        <v/>
      </c>
      <c r="AG17" s="10" t="n"/>
      <c r="AH17" s="10">
        <f>IF(AG17&gt;0,AG17,"")</f>
        <v/>
      </c>
      <c r="AI17" s="10">
        <f>IF(AND(F17&gt;0,OR(AG17&gt;0,AH17&gt;0)),ROUND(IF(AG17&gt;0,AG17,AH17)/F17,4),"")</f>
        <v/>
      </c>
      <c r="AJ17" s="10" t="n"/>
      <c r="AK17" s="10" t="n"/>
      <c r="AL17" s="10">
        <f>IF(COUNT(AJ17:AK17)&gt;0,MAX(AJ17:AK17),"")</f>
        <v/>
      </c>
      <c r="AM17" s="10" t="n"/>
      <c r="AN17" s="10" t="n"/>
      <c r="AO17" s="10">
        <f>IF(COUNT(AM17:AN17)&gt;0,ROUND(AVERAGE(AM17:AN17),2),"")</f>
        <v/>
      </c>
      <c r="AP17" s="10">
        <f>IF(AND(F17&gt;0,AO17&gt;0),ROUND(AO17/F17,4),"")</f>
        <v/>
      </c>
      <c r="AQ17" s="10">
        <f>IF(AND(AM17&gt;0,AN17&gt;0),ROUND((AN17/AM17)*100,2),"")</f>
        <v/>
      </c>
      <c r="AR17" s="9" t="inlineStr">
        <is>
          <t>P015_sanny.pdf</t>
        </is>
      </c>
      <c r="AS17" s="9" t="inlineStr">
        <is>
          <t>P015_biodex.pdf</t>
        </is>
      </c>
      <c r="AT17" s="9" t="n"/>
    </row>
    <row r="18">
      <c r="A18" s="8" t="inlineStr">
        <is>
          <t>P016</t>
        </is>
      </c>
      <c r="B18" s="9" t="n"/>
      <c r="C18" s="8" t="n"/>
      <c r="D18" s="8" t="n"/>
      <c r="E18" s="8" t="n"/>
      <c r="F18" s="10" t="n"/>
      <c r="G18" s="10" t="n"/>
      <c r="H18" s="10" t="n"/>
      <c r="I18" s="10" t="n"/>
      <c r="J18" s="10" t="n"/>
      <c r="K18" s="10" t="n"/>
      <c r="L18" s="10">
        <f>IF(AND(G18&gt;0,I18&gt;0),ROUND(I18/((G18/100)^2),2),"")</f>
        <v/>
      </c>
      <c r="M18" s="10" t="n"/>
      <c r="N18" s="10" t="n"/>
      <c r="O18" s="13" t="n"/>
      <c r="P18" s="8" t="inlineStr">
        <is>
          <t>D</t>
        </is>
      </c>
      <c r="Q18" s="10" t="n"/>
      <c r="R18" s="10" t="n"/>
      <c r="S18" s="10" t="n"/>
      <c r="T18" s="10" t="n"/>
      <c r="U18" s="10" t="n"/>
      <c r="V18" s="10" t="n"/>
      <c r="W18" s="10">
        <f>IF(COUNT(Q18:S18)&gt;0,MAX(Q18:S18),"")</f>
        <v/>
      </c>
      <c r="X18" s="10">
        <f>IF(COUNT(T18:V18)&gt;0,MAX(T18:V18),"")</f>
        <v/>
      </c>
      <c r="Y18" s="10">
        <f>IF(AND(F18&gt;0,COUNT(W18:X18)&gt;0),ROUND(AVERAGE(W18:X18)/F18,4),"")</f>
        <v/>
      </c>
      <c r="Z18" s="10" t="n"/>
      <c r="AA18" s="10">
        <f>IF(Z18&gt;0,ROUND(Z18*0.5,1),IF(F18&gt;0,ROUND(F18*0.4,1),""))</f>
        <v/>
      </c>
      <c r="AB18" s="10">
        <f>IF(Z18&gt;0,ROUND(Z18*0.6,1),IF(AA18&gt;0,ROUND(AA18/0.5*0.6,1),""))</f>
        <v/>
      </c>
      <c r="AC18" s="10">
        <f>IF(Z18&gt;0,ROUND(Z18*0.7,1),IF(AA18&gt;0,ROUND(AA18/0.5*0.7,1),""))</f>
        <v/>
      </c>
      <c r="AD18" s="10">
        <f>IF(Z18&gt;0,ROUND(Z18*0.8,1),IF(AA18&gt;0,ROUND(AA18/0.5*0.8,1),""))</f>
        <v/>
      </c>
      <c r="AE18" s="10">
        <f>IF(Z18&gt;0,ROUND(Z18*0.9,1),IF(AA18&gt;0,ROUND(AA18/0.5*0.9,1),""))</f>
        <v/>
      </c>
      <c r="AF18" s="10">
        <f>IF(Z18&gt;0,Z18,IF(AA18&gt;0,ROUND(AA18/0.5,1),""))</f>
        <v/>
      </c>
      <c r="AG18" s="10" t="n"/>
      <c r="AH18" s="10">
        <f>IF(AG18&gt;0,AG18,"")</f>
        <v/>
      </c>
      <c r="AI18" s="10">
        <f>IF(AND(F18&gt;0,OR(AG18&gt;0,AH18&gt;0)),ROUND(IF(AG18&gt;0,AG18,AH18)/F18,4),"")</f>
        <v/>
      </c>
      <c r="AJ18" s="10" t="n"/>
      <c r="AK18" s="10" t="n"/>
      <c r="AL18" s="10">
        <f>IF(COUNT(AJ18:AK18)&gt;0,MAX(AJ18:AK18),"")</f>
        <v/>
      </c>
      <c r="AM18" s="10" t="n"/>
      <c r="AN18" s="10" t="n"/>
      <c r="AO18" s="10">
        <f>IF(COUNT(AM18:AN18)&gt;0,ROUND(AVERAGE(AM18:AN18),2),"")</f>
        <v/>
      </c>
      <c r="AP18" s="10">
        <f>IF(AND(F18&gt;0,AO18&gt;0),ROUND(AO18/F18,4),"")</f>
        <v/>
      </c>
      <c r="AQ18" s="10">
        <f>IF(AND(AM18&gt;0,AN18&gt;0),ROUND((AN18/AM18)*100,2),"")</f>
        <v/>
      </c>
      <c r="AR18" s="9" t="inlineStr">
        <is>
          <t>P016_sanny.pdf</t>
        </is>
      </c>
      <c r="AS18" s="9" t="inlineStr">
        <is>
          <t>P016_biodex.pdf</t>
        </is>
      </c>
      <c r="AT18" s="9" t="n"/>
    </row>
    <row r="19">
      <c r="A19" s="8" t="inlineStr">
        <is>
          <t>P017</t>
        </is>
      </c>
      <c r="B19" s="9" t="n"/>
      <c r="C19" s="8" t="n"/>
      <c r="D19" s="8" t="n"/>
      <c r="E19" s="8" t="n"/>
      <c r="F19" s="10" t="n"/>
      <c r="G19" s="10" t="n"/>
      <c r="H19" s="10" t="n"/>
      <c r="I19" s="10" t="n"/>
      <c r="J19" s="10" t="n"/>
      <c r="K19" s="10" t="n"/>
      <c r="L19" s="10">
        <f>IF(AND(G19&gt;0,I19&gt;0),ROUND(I19/((G19/100)^2),2),"")</f>
        <v/>
      </c>
      <c r="M19" s="10" t="n"/>
      <c r="N19" s="10" t="n"/>
      <c r="O19" s="13" t="n"/>
      <c r="P19" s="8" t="inlineStr">
        <is>
          <t>D</t>
        </is>
      </c>
      <c r="Q19" s="10" t="n"/>
      <c r="R19" s="10" t="n"/>
      <c r="S19" s="10" t="n"/>
      <c r="T19" s="10" t="n"/>
      <c r="U19" s="10" t="n"/>
      <c r="V19" s="10" t="n"/>
      <c r="W19" s="10">
        <f>IF(COUNT(Q19:S19)&gt;0,MAX(Q19:S19),"")</f>
        <v/>
      </c>
      <c r="X19" s="10">
        <f>IF(COUNT(T19:V19)&gt;0,MAX(T19:V19),"")</f>
        <v/>
      </c>
      <c r="Y19" s="10">
        <f>IF(AND(F19&gt;0,COUNT(W19:X19)&gt;0),ROUND(AVERAGE(W19:X19)/F19,4),"")</f>
        <v/>
      </c>
      <c r="Z19" s="10" t="n"/>
      <c r="AA19" s="10">
        <f>IF(Z19&gt;0,ROUND(Z19*0.5,1),IF(F19&gt;0,ROUND(F19*0.4,1),""))</f>
        <v/>
      </c>
      <c r="AB19" s="10">
        <f>IF(Z19&gt;0,ROUND(Z19*0.6,1),IF(AA19&gt;0,ROUND(AA19/0.5*0.6,1),""))</f>
        <v/>
      </c>
      <c r="AC19" s="10">
        <f>IF(Z19&gt;0,ROUND(Z19*0.7,1),IF(AA19&gt;0,ROUND(AA19/0.5*0.7,1),""))</f>
        <v/>
      </c>
      <c r="AD19" s="10">
        <f>IF(Z19&gt;0,ROUND(Z19*0.8,1),IF(AA19&gt;0,ROUND(AA19/0.5*0.8,1),""))</f>
        <v/>
      </c>
      <c r="AE19" s="10">
        <f>IF(Z19&gt;0,ROUND(Z19*0.9,1),IF(AA19&gt;0,ROUND(AA19/0.5*0.9,1),""))</f>
        <v/>
      </c>
      <c r="AF19" s="10">
        <f>IF(Z19&gt;0,Z19,IF(AA19&gt;0,ROUND(AA19/0.5,1),""))</f>
        <v/>
      </c>
      <c r="AG19" s="10" t="n"/>
      <c r="AH19" s="10">
        <f>IF(AG19&gt;0,AG19,"")</f>
        <v/>
      </c>
      <c r="AI19" s="10">
        <f>IF(AND(F19&gt;0,OR(AG19&gt;0,AH19&gt;0)),ROUND(IF(AG19&gt;0,AG19,AH19)/F19,4),"")</f>
        <v/>
      </c>
      <c r="AJ19" s="10" t="n"/>
      <c r="AK19" s="10" t="n"/>
      <c r="AL19" s="10">
        <f>IF(COUNT(AJ19:AK19)&gt;0,MAX(AJ19:AK19),"")</f>
        <v/>
      </c>
      <c r="AM19" s="10" t="n"/>
      <c r="AN19" s="10" t="n"/>
      <c r="AO19" s="10">
        <f>IF(COUNT(AM19:AN19)&gt;0,ROUND(AVERAGE(AM19:AN19),2),"")</f>
        <v/>
      </c>
      <c r="AP19" s="10">
        <f>IF(AND(F19&gt;0,AO19&gt;0),ROUND(AO19/F19,4),"")</f>
        <v/>
      </c>
      <c r="AQ19" s="10">
        <f>IF(AND(AM19&gt;0,AN19&gt;0),ROUND((AN19/AM19)*100,2),"")</f>
        <v/>
      </c>
      <c r="AR19" s="9" t="inlineStr">
        <is>
          <t>P017_sanny.pdf</t>
        </is>
      </c>
      <c r="AS19" s="9" t="inlineStr">
        <is>
          <t>P017_biodex.pdf</t>
        </is>
      </c>
      <c r="AT19" s="9" t="n"/>
    </row>
    <row r="20">
      <c r="A20" s="8" t="inlineStr">
        <is>
          <t>P018</t>
        </is>
      </c>
      <c r="B20" s="9" t="n"/>
      <c r="C20" s="8" t="n"/>
      <c r="D20" s="8" t="n"/>
      <c r="E20" s="8" t="n"/>
      <c r="F20" s="10" t="n"/>
      <c r="G20" s="10" t="n"/>
      <c r="H20" s="10" t="n"/>
      <c r="I20" s="10" t="n"/>
      <c r="J20" s="10" t="n"/>
      <c r="K20" s="10" t="n"/>
      <c r="L20" s="10">
        <f>IF(AND(G20&gt;0,I20&gt;0),ROUND(I20/((G20/100)^2),2),"")</f>
        <v/>
      </c>
      <c r="M20" s="10" t="n"/>
      <c r="N20" s="10" t="n"/>
      <c r="O20" s="13" t="n"/>
      <c r="P20" s="8" t="inlineStr">
        <is>
          <t>D</t>
        </is>
      </c>
      <c r="Q20" s="10" t="n"/>
      <c r="R20" s="10" t="n"/>
      <c r="S20" s="10" t="n"/>
      <c r="T20" s="10" t="n"/>
      <c r="U20" s="10" t="n"/>
      <c r="V20" s="10" t="n"/>
      <c r="W20" s="10">
        <f>IF(COUNT(Q20:S20)&gt;0,MAX(Q20:S20),"")</f>
        <v/>
      </c>
      <c r="X20" s="10">
        <f>IF(COUNT(T20:V20)&gt;0,MAX(T20:V20),"")</f>
        <v/>
      </c>
      <c r="Y20" s="10">
        <f>IF(AND(F20&gt;0,COUNT(W20:X20)&gt;0),ROUND(AVERAGE(W20:X20)/F20,4),"")</f>
        <v/>
      </c>
      <c r="Z20" s="10" t="n"/>
      <c r="AA20" s="10">
        <f>IF(Z20&gt;0,ROUND(Z20*0.5,1),IF(F20&gt;0,ROUND(F20*0.4,1),""))</f>
        <v/>
      </c>
      <c r="AB20" s="10">
        <f>IF(Z20&gt;0,ROUND(Z20*0.6,1),IF(AA20&gt;0,ROUND(AA20/0.5*0.6,1),""))</f>
        <v/>
      </c>
      <c r="AC20" s="10">
        <f>IF(Z20&gt;0,ROUND(Z20*0.7,1),IF(AA20&gt;0,ROUND(AA20/0.5*0.7,1),""))</f>
        <v/>
      </c>
      <c r="AD20" s="10">
        <f>IF(Z20&gt;0,ROUND(Z20*0.8,1),IF(AA20&gt;0,ROUND(AA20/0.5*0.8,1),""))</f>
        <v/>
      </c>
      <c r="AE20" s="10">
        <f>IF(Z20&gt;0,ROUND(Z20*0.9,1),IF(AA20&gt;0,ROUND(AA20/0.5*0.9,1),""))</f>
        <v/>
      </c>
      <c r="AF20" s="10">
        <f>IF(Z20&gt;0,Z20,IF(AA20&gt;0,ROUND(AA20/0.5,1),""))</f>
        <v/>
      </c>
      <c r="AG20" s="10" t="n"/>
      <c r="AH20" s="10">
        <f>IF(AG20&gt;0,AG20,"")</f>
        <v/>
      </c>
      <c r="AI20" s="10">
        <f>IF(AND(F20&gt;0,OR(AG20&gt;0,AH20&gt;0)),ROUND(IF(AG20&gt;0,AG20,AH20)/F20,4),"")</f>
        <v/>
      </c>
      <c r="AJ20" s="10" t="n"/>
      <c r="AK20" s="10" t="n"/>
      <c r="AL20" s="10">
        <f>IF(COUNT(AJ20:AK20)&gt;0,MAX(AJ20:AK20),"")</f>
        <v/>
      </c>
      <c r="AM20" s="10" t="n"/>
      <c r="AN20" s="10" t="n"/>
      <c r="AO20" s="10">
        <f>IF(COUNT(AM20:AN20)&gt;0,ROUND(AVERAGE(AM20:AN20),2),"")</f>
        <v/>
      </c>
      <c r="AP20" s="10">
        <f>IF(AND(F20&gt;0,AO20&gt;0),ROUND(AO20/F20,4),"")</f>
        <v/>
      </c>
      <c r="AQ20" s="10">
        <f>IF(AND(AM20&gt;0,AN20&gt;0),ROUND((AN20/AM20)*100,2),"")</f>
        <v/>
      </c>
      <c r="AR20" s="9" t="inlineStr">
        <is>
          <t>P018_sanny.pdf</t>
        </is>
      </c>
      <c r="AS20" s="9" t="inlineStr">
        <is>
          <t>P018_biodex.pdf</t>
        </is>
      </c>
      <c r="AT20" s="9" t="n"/>
    </row>
    <row r="21">
      <c r="A21" s="8" t="inlineStr">
        <is>
          <t>P019</t>
        </is>
      </c>
      <c r="B21" s="9" t="n"/>
      <c r="C21" s="8" t="n"/>
      <c r="D21" s="8" t="n"/>
      <c r="E21" s="8" t="n"/>
      <c r="F21" s="10" t="n"/>
      <c r="G21" s="10" t="n"/>
      <c r="H21" s="10" t="n"/>
      <c r="I21" s="10" t="n"/>
      <c r="J21" s="10" t="n"/>
      <c r="K21" s="10" t="n"/>
      <c r="L21" s="10">
        <f>IF(AND(G21&gt;0,I21&gt;0),ROUND(I21/((G21/100)^2),2),"")</f>
        <v/>
      </c>
      <c r="M21" s="10" t="n"/>
      <c r="N21" s="10" t="n"/>
      <c r="O21" s="13" t="n"/>
      <c r="P21" s="8" t="inlineStr">
        <is>
          <t>D</t>
        </is>
      </c>
      <c r="Q21" s="10" t="n"/>
      <c r="R21" s="10" t="n"/>
      <c r="S21" s="10" t="n"/>
      <c r="T21" s="10" t="n"/>
      <c r="U21" s="10" t="n"/>
      <c r="V21" s="10" t="n"/>
      <c r="W21" s="10">
        <f>IF(COUNT(Q21:S21)&gt;0,MAX(Q21:S21),"")</f>
        <v/>
      </c>
      <c r="X21" s="10">
        <f>IF(COUNT(T21:V21)&gt;0,MAX(T21:V21),"")</f>
        <v/>
      </c>
      <c r="Y21" s="10">
        <f>IF(AND(F21&gt;0,COUNT(W21:X21)&gt;0),ROUND(AVERAGE(W21:X21)/F21,4),"")</f>
        <v/>
      </c>
      <c r="Z21" s="10" t="n"/>
      <c r="AA21" s="10">
        <f>IF(Z21&gt;0,ROUND(Z21*0.5,1),IF(F21&gt;0,ROUND(F21*0.4,1),""))</f>
        <v/>
      </c>
      <c r="AB21" s="10">
        <f>IF(Z21&gt;0,ROUND(Z21*0.6,1),IF(AA21&gt;0,ROUND(AA21/0.5*0.6,1),""))</f>
        <v/>
      </c>
      <c r="AC21" s="10">
        <f>IF(Z21&gt;0,ROUND(Z21*0.7,1),IF(AA21&gt;0,ROUND(AA21/0.5*0.7,1),""))</f>
        <v/>
      </c>
      <c r="AD21" s="10">
        <f>IF(Z21&gt;0,ROUND(Z21*0.8,1),IF(AA21&gt;0,ROUND(AA21/0.5*0.8,1),""))</f>
        <v/>
      </c>
      <c r="AE21" s="10">
        <f>IF(Z21&gt;0,ROUND(Z21*0.9,1),IF(AA21&gt;0,ROUND(AA21/0.5*0.9,1),""))</f>
        <v/>
      </c>
      <c r="AF21" s="10">
        <f>IF(Z21&gt;0,Z21,IF(AA21&gt;0,ROUND(AA21/0.5,1),""))</f>
        <v/>
      </c>
      <c r="AG21" s="10" t="n"/>
      <c r="AH21" s="10">
        <f>IF(AG21&gt;0,AG21,"")</f>
        <v/>
      </c>
      <c r="AI21" s="10">
        <f>IF(AND(F21&gt;0,OR(AG21&gt;0,AH21&gt;0)),ROUND(IF(AG21&gt;0,AG21,AH21)/F21,4),"")</f>
        <v/>
      </c>
      <c r="AJ21" s="10" t="n"/>
      <c r="AK21" s="10" t="n"/>
      <c r="AL21" s="10">
        <f>IF(COUNT(AJ21:AK21)&gt;0,MAX(AJ21:AK21),"")</f>
        <v/>
      </c>
      <c r="AM21" s="10" t="n"/>
      <c r="AN21" s="10" t="n"/>
      <c r="AO21" s="10">
        <f>IF(COUNT(AM21:AN21)&gt;0,ROUND(AVERAGE(AM21:AN21),2),"")</f>
        <v/>
      </c>
      <c r="AP21" s="10">
        <f>IF(AND(F21&gt;0,AO21&gt;0),ROUND(AO21/F21,4),"")</f>
        <v/>
      </c>
      <c r="AQ21" s="10">
        <f>IF(AND(AM21&gt;0,AN21&gt;0),ROUND((AN21/AM21)*100,2),"")</f>
        <v/>
      </c>
      <c r="AR21" s="9" t="inlineStr">
        <is>
          <t>P019_sanny.pdf</t>
        </is>
      </c>
      <c r="AS21" s="9" t="inlineStr">
        <is>
          <t>P019_biodex.pdf</t>
        </is>
      </c>
      <c r="AT21" s="9" t="n"/>
    </row>
    <row r="22">
      <c r="A22" s="8" t="inlineStr">
        <is>
          <t>P020</t>
        </is>
      </c>
      <c r="B22" s="9" t="n"/>
      <c r="C22" s="8" t="n"/>
      <c r="D22" s="8" t="n"/>
      <c r="E22" s="8" t="n"/>
      <c r="F22" s="10" t="n"/>
      <c r="G22" s="10" t="n"/>
      <c r="H22" s="10" t="n"/>
      <c r="I22" s="10" t="n"/>
      <c r="J22" s="10" t="n"/>
      <c r="K22" s="10" t="n"/>
      <c r="L22" s="10">
        <f>IF(AND(G22&gt;0,I22&gt;0),ROUND(I22/((G22/100)^2),2),"")</f>
        <v/>
      </c>
      <c r="M22" s="10" t="n"/>
      <c r="N22" s="10" t="n"/>
      <c r="O22" s="13" t="n"/>
      <c r="P22" s="8" t="inlineStr">
        <is>
          <t>D</t>
        </is>
      </c>
      <c r="Q22" s="10" t="n"/>
      <c r="R22" s="10" t="n"/>
      <c r="S22" s="10" t="n"/>
      <c r="T22" s="10" t="n"/>
      <c r="U22" s="10" t="n"/>
      <c r="V22" s="10" t="n"/>
      <c r="W22" s="10">
        <f>IF(COUNT(Q22:S22)&gt;0,MAX(Q22:S22),"")</f>
        <v/>
      </c>
      <c r="X22" s="10">
        <f>IF(COUNT(T22:V22)&gt;0,MAX(T22:V22),"")</f>
        <v/>
      </c>
      <c r="Y22" s="10">
        <f>IF(AND(F22&gt;0,COUNT(W22:X22)&gt;0),ROUND(AVERAGE(W22:X22)/F22,4),"")</f>
        <v/>
      </c>
      <c r="Z22" s="10" t="n"/>
      <c r="AA22" s="10">
        <f>IF(Z22&gt;0,ROUND(Z22*0.5,1),IF(F22&gt;0,ROUND(F22*0.4,1),""))</f>
        <v/>
      </c>
      <c r="AB22" s="10">
        <f>IF(Z22&gt;0,ROUND(Z22*0.6,1),IF(AA22&gt;0,ROUND(AA22/0.5*0.6,1),""))</f>
        <v/>
      </c>
      <c r="AC22" s="10">
        <f>IF(Z22&gt;0,ROUND(Z22*0.7,1),IF(AA22&gt;0,ROUND(AA22/0.5*0.7,1),""))</f>
        <v/>
      </c>
      <c r="AD22" s="10">
        <f>IF(Z22&gt;0,ROUND(Z22*0.8,1),IF(AA22&gt;0,ROUND(AA22/0.5*0.8,1),""))</f>
        <v/>
      </c>
      <c r="AE22" s="10">
        <f>IF(Z22&gt;0,ROUND(Z22*0.9,1),IF(AA22&gt;0,ROUND(AA22/0.5*0.9,1),""))</f>
        <v/>
      </c>
      <c r="AF22" s="10">
        <f>IF(Z22&gt;0,Z22,IF(AA22&gt;0,ROUND(AA22/0.5,1),""))</f>
        <v/>
      </c>
      <c r="AG22" s="10" t="n"/>
      <c r="AH22" s="10">
        <f>IF(AG22&gt;0,AG22,"")</f>
        <v/>
      </c>
      <c r="AI22" s="10">
        <f>IF(AND(F22&gt;0,OR(AG22&gt;0,AH22&gt;0)),ROUND(IF(AG22&gt;0,AG22,AH22)/F22,4),"")</f>
        <v/>
      </c>
      <c r="AJ22" s="10" t="n"/>
      <c r="AK22" s="10" t="n"/>
      <c r="AL22" s="10">
        <f>IF(COUNT(AJ22:AK22)&gt;0,MAX(AJ22:AK22),"")</f>
        <v/>
      </c>
      <c r="AM22" s="10" t="n"/>
      <c r="AN22" s="10" t="n"/>
      <c r="AO22" s="10">
        <f>IF(COUNT(AM22:AN22)&gt;0,ROUND(AVERAGE(AM22:AN22),2),"")</f>
        <v/>
      </c>
      <c r="AP22" s="10">
        <f>IF(AND(F22&gt;0,AO22&gt;0),ROUND(AO22/F22,4),"")</f>
        <v/>
      </c>
      <c r="AQ22" s="10">
        <f>IF(AND(AM22&gt;0,AN22&gt;0),ROUND((AN22/AM22)*100,2),"")</f>
        <v/>
      </c>
      <c r="AR22" s="9" t="inlineStr">
        <is>
          <t>P020_sanny.pdf</t>
        </is>
      </c>
      <c r="AS22" s="9" t="inlineStr">
        <is>
          <t>P020_biodex.pdf</t>
        </is>
      </c>
      <c r="AT22" s="9" t="n"/>
    </row>
    <row r="23">
      <c r="A23" s="8" t="inlineStr">
        <is>
          <t>P021</t>
        </is>
      </c>
      <c r="B23" s="9" t="n"/>
      <c r="C23" s="8" t="n"/>
      <c r="D23" s="8" t="n"/>
      <c r="E23" s="8" t="n"/>
      <c r="F23" s="10" t="n"/>
      <c r="G23" s="10" t="n"/>
      <c r="H23" s="10" t="n"/>
      <c r="I23" s="10" t="n"/>
      <c r="J23" s="10" t="n"/>
      <c r="K23" s="10" t="n"/>
      <c r="L23" s="10">
        <f>IF(AND(G23&gt;0,I23&gt;0),ROUND(I23/((G23/100)^2),2),"")</f>
        <v/>
      </c>
      <c r="M23" s="10" t="n"/>
      <c r="N23" s="10" t="n"/>
      <c r="O23" s="13" t="n"/>
      <c r="P23" s="8" t="inlineStr">
        <is>
          <t>D</t>
        </is>
      </c>
      <c r="Q23" s="10" t="n"/>
      <c r="R23" s="10" t="n"/>
      <c r="S23" s="10" t="n"/>
      <c r="T23" s="10" t="n"/>
      <c r="U23" s="10" t="n"/>
      <c r="V23" s="10" t="n"/>
      <c r="W23" s="10">
        <f>IF(COUNT(Q23:S23)&gt;0,MAX(Q23:S23),"")</f>
        <v/>
      </c>
      <c r="X23" s="10">
        <f>IF(COUNT(T23:V23)&gt;0,MAX(T23:V23),"")</f>
        <v/>
      </c>
      <c r="Y23" s="10">
        <f>IF(AND(F23&gt;0,COUNT(W23:X23)&gt;0),ROUND(AVERAGE(W23:X23)/F23,4),"")</f>
        <v/>
      </c>
      <c r="Z23" s="10" t="n"/>
      <c r="AA23" s="10">
        <f>IF(Z23&gt;0,ROUND(Z23*0.5,1),IF(F23&gt;0,ROUND(F23*0.4,1),""))</f>
        <v/>
      </c>
      <c r="AB23" s="10">
        <f>IF(Z23&gt;0,ROUND(Z23*0.6,1),IF(AA23&gt;0,ROUND(AA23/0.5*0.6,1),""))</f>
        <v/>
      </c>
      <c r="AC23" s="10">
        <f>IF(Z23&gt;0,ROUND(Z23*0.7,1),IF(AA23&gt;0,ROUND(AA23/0.5*0.7,1),""))</f>
        <v/>
      </c>
      <c r="AD23" s="10">
        <f>IF(Z23&gt;0,ROUND(Z23*0.8,1),IF(AA23&gt;0,ROUND(AA23/0.5*0.8,1),""))</f>
        <v/>
      </c>
      <c r="AE23" s="10">
        <f>IF(Z23&gt;0,ROUND(Z23*0.9,1),IF(AA23&gt;0,ROUND(AA23/0.5*0.9,1),""))</f>
        <v/>
      </c>
      <c r="AF23" s="10">
        <f>IF(Z23&gt;0,Z23,IF(AA23&gt;0,ROUND(AA23/0.5,1),""))</f>
        <v/>
      </c>
      <c r="AG23" s="10" t="n"/>
      <c r="AH23" s="10">
        <f>IF(AG23&gt;0,AG23,"")</f>
        <v/>
      </c>
      <c r="AI23" s="10">
        <f>IF(AND(F23&gt;0,OR(AG23&gt;0,AH23&gt;0)),ROUND(IF(AG23&gt;0,AG23,AH23)/F23,4),"")</f>
        <v/>
      </c>
      <c r="AJ23" s="10" t="n"/>
      <c r="AK23" s="10" t="n"/>
      <c r="AL23" s="10">
        <f>IF(COUNT(AJ23:AK23)&gt;0,MAX(AJ23:AK23),"")</f>
        <v/>
      </c>
      <c r="AM23" s="10" t="n"/>
      <c r="AN23" s="10" t="n"/>
      <c r="AO23" s="10">
        <f>IF(COUNT(AM23:AN23)&gt;0,ROUND(AVERAGE(AM23:AN23),2),"")</f>
        <v/>
      </c>
      <c r="AP23" s="10">
        <f>IF(AND(F23&gt;0,AO23&gt;0),ROUND(AO23/F23,4),"")</f>
        <v/>
      </c>
      <c r="AQ23" s="10">
        <f>IF(AND(AM23&gt;0,AN23&gt;0),ROUND((AN23/AM23)*100,2),"")</f>
        <v/>
      </c>
      <c r="AR23" s="9" t="inlineStr">
        <is>
          <t>P021_sanny.pdf</t>
        </is>
      </c>
      <c r="AS23" s="9" t="inlineStr">
        <is>
          <t>P021_biodex.pdf</t>
        </is>
      </c>
      <c r="AT23" s="9" t="n"/>
    </row>
    <row r="24">
      <c r="A24" s="8" t="inlineStr">
        <is>
          <t>P022</t>
        </is>
      </c>
      <c r="B24" s="9" t="n"/>
      <c r="C24" s="8" t="n"/>
      <c r="D24" s="8" t="n"/>
      <c r="E24" s="8" t="n"/>
      <c r="F24" s="10" t="n"/>
      <c r="G24" s="10" t="n"/>
      <c r="H24" s="10" t="n"/>
      <c r="I24" s="10" t="n"/>
      <c r="J24" s="10" t="n"/>
      <c r="K24" s="10" t="n"/>
      <c r="L24" s="10">
        <f>IF(AND(G24&gt;0,I24&gt;0),ROUND(I24/((G24/100)^2),2),"")</f>
        <v/>
      </c>
      <c r="M24" s="10" t="n"/>
      <c r="N24" s="10" t="n"/>
      <c r="O24" s="13" t="n"/>
      <c r="P24" s="8" t="inlineStr">
        <is>
          <t>D</t>
        </is>
      </c>
      <c r="Q24" s="10" t="n"/>
      <c r="R24" s="10" t="n"/>
      <c r="S24" s="10" t="n"/>
      <c r="T24" s="10" t="n"/>
      <c r="U24" s="10" t="n"/>
      <c r="V24" s="10" t="n"/>
      <c r="W24" s="10">
        <f>IF(COUNT(Q24:S24)&gt;0,MAX(Q24:S24),"")</f>
        <v/>
      </c>
      <c r="X24" s="10">
        <f>IF(COUNT(T24:V24)&gt;0,MAX(T24:V24),"")</f>
        <v/>
      </c>
      <c r="Y24" s="10">
        <f>IF(AND(F24&gt;0,COUNT(W24:X24)&gt;0),ROUND(AVERAGE(W24:X24)/F24,4),"")</f>
        <v/>
      </c>
      <c r="Z24" s="10" t="n"/>
      <c r="AA24" s="10">
        <f>IF(Z24&gt;0,ROUND(Z24*0.5,1),IF(F24&gt;0,ROUND(F24*0.4,1),""))</f>
        <v/>
      </c>
      <c r="AB24" s="10">
        <f>IF(Z24&gt;0,ROUND(Z24*0.6,1),IF(AA24&gt;0,ROUND(AA24/0.5*0.6,1),""))</f>
        <v/>
      </c>
      <c r="AC24" s="10">
        <f>IF(Z24&gt;0,ROUND(Z24*0.7,1),IF(AA24&gt;0,ROUND(AA24/0.5*0.7,1),""))</f>
        <v/>
      </c>
      <c r="AD24" s="10">
        <f>IF(Z24&gt;0,ROUND(Z24*0.8,1),IF(AA24&gt;0,ROUND(AA24/0.5*0.8,1),""))</f>
        <v/>
      </c>
      <c r="AE24" s="10">
        <f>IF(Z24&gt;0,ROUND(Z24*0.9,1),IF(AA24&gt;0,ROUND(AA24/0.5*0.9,1),""))</f>
        <v/>
      </c>
      <c r="AF24" s="10">
        <f>IF(Z24&gt;0,Z24,IF(AA24&gt;0,ROUND(AA24/0.5,1),""))</f>
        <v/>
      </c>
      <c r="AG24" s="10" t="n"/>
      <c r="AH24" s="10">
        <f>IF(AG24&gt;0,AG24,"")</f>
        <v/>
      </c>
      <c r="AI24" s="10">
        <f>IF(AND(F24&gt;0,OR(AG24&gt;0,AH24&gt;0)),ROUND(IF(AG24&gt;0,AG24,AH24)/F24,4),"")</f>
        <v/>
      </c>
      <c r="AJ24" s="10" t="n"/>
      <c r="AK24" s="10" t="n"/>
      <c r="AL24" s="10">
        <f>IF(COUNT(AJ24:AK24)&gt;0,MAX(AJ24:AK24),"")</f>
        <v/>
      </c>
      <c r="AM24" s="10" t="n"/>
      <c r="AN24" s="10" t="n"/>
      <c r="AO24" s="10">
        <f>IF(COUNT(AM24:AN24)&gt;0,ROUND(AVERAGE(AM24:AN24),2),"")</f>
        <v/>
      </c>
      <c r="AP24" s="10">
        <f>IF(AND(F24&gt;0,AO24&gt;0),ROUND(AO24/F24,4),"")</f>
        <v/>
      </c>
      <c r="AQ24" s="10">
        <f>IF(AND(AM24&gt;0,AN24&gt;0),ROUND((AN24/AM24)*100,2),"")</f>
        <v/>
      </c>
      <c r="AR24" s="9" t="inlineStr">
        <is>
          <t>P022_sanny.pdf</t>
        </is>
      </c>
      <c r="AS24" s="9" t="inlineStr">
        <is>
          <t>P022_biodex.pdf</t>
        </is>
      </c>
      <c r="AT24" s="9" t="n"/>
    </row>
    <row r="25">
      <c r="A25" s="8" t="inlineStr">
        <is>
          <t>P023</t>
        </is>
      </c>
      <c r="B25" s="9" t="n"/>
      <c r="C25" s="8" t="n"/>
      <c r="D25" s="8" t="n"/>
      <c r="E25" s="8" t="n"/>
      <c r="F25" s="10" t="n"/>
      <c r="G25" s="10" t="n"/>
      <c r="H25" s="10" t="n"/>
      <c r="I25" s="10" t="n"/>
      <c r="J25" s="10" t="n"/>
      <c r="K25" s="10" t="n"/>
      <c r="L25" s="10">
        <f>IF(AND(G25&gt;0,I25&gt;0),ROUND(I25/((G25/100)^2),2),"")</f>
        <v/>
      </c>
      <c r="M25" s="10" t="n"/>
      <c r="N25" s="10" t="n"/>
      <c r="O25" s="13" t="n"/>
      <c r="P25" s="8" t="inlineStr">
        <is>
          <t>D</t>
        </is>
      </c>
      <c r="Q25" s="10" t="n"/>
      <c r="R25" s="10" t="n"/>
      <c r="S25" s="10" t="n"/>
      <c r="T25" s="10" t="n"/>
      <c r="U25" s="10" t="n"/>
      <c r="V25" s="10" t="n"/>
      <c r="W25" s="10">
        <f>IF(COUNT(Q25:S25)&gt;0,MAX(Q25:S25),"")</f>
        <v/>
      </c>
      <c r="X25" s="10">
        <f>IF(COUNT(T25:V25)&gt;0,MAX(T25:V25),"")</f>
        <v/>
      </c>
      <c r="Y25" s="10">
        <f>IF(AND(F25&gt;0,COUNT(W25:X25)&gt;0),ROUND(AVERAGE(W25:X25)/F25,4),"")</f>
        <v/>
      </c>
      <c r="Z25" s="10" t="n"/>
      <c r="AA25" s="10">
        <f>IF(Z25&gt;0,ROUND(Z25*0.5,1),IF(F25&gt;0,ROUND(F25*0.4,1),""))</f>
        <v/>
      </c>
      <c r="AB25" s="10">
        <f>IF(Z25&gt;0,ROUND(Z25*0.6,1),IF(AA25&gt;0,ROUND(AA25/0.5*0.6,1),""))</f>
        <v/>
      </c>
      <c r="AC25" s="10">
        <f>IF(Z25&gt;0,ROUND(Z25*0.7,1),IF(AA25&gt;0,ROUND(AA25/0.5*0.7,1),""))</f>
        <v/>
      </c>
      <c r="AD25" s="10">
        <f>IF(Z25&gt;0,ROUND(Z25*0.8,1),IF(AA25&gt;0,ROUND(AA25/0.5*0.8,1),""))</f>
        <v/>
      </c>
      <c r="AE25" s="10">
        <f>IF(Z25&gt;0,ROUND(Z25*0.9,1),IF(AA25&gt;0,ROUND(AA25/0.5*0.9,1),""))</f>
        <v/>
      </c>
      <c r="AF25" s="10">
        <f>IF(Z25&gt;0,Z25,IF(AA25&gt;0,ROUND(AA25/0.5,1),""))</f>
        <v/>
      </c>
      <c r="AG25" s="10" t="n"/>
      <c r="AH25" s="10">
        <f>IF(AG25&gt;0,AG25,"")</f>
        <v/>
      </c>
      <c r="AI25" s="10">
        <f>IF(AND(F25&gt;0,OR(AG25&gt;0,AH25&gt;0)),ROUND(IF(AG25&gt;0,AG25,AH25)/F25,4),"")</f>
        <v/>
      </c>
      <c r="AJ25" s="10" t="n"/>
      <c r="AK25" s="10" t="n"/>
      <c r="AL25" s="10">
        <f>IF(COUNT(AJ25:AK25)&gt;0,MAX(AJ25:AK25),"")</f>
        <v/>
      </c>
      <c r="AM25" s="10" t="n"/>
      <c r="AN25" s="10" t="n"/>
      <c r="AO25" s="10">
        <f>IF(COUNT(AM25:AN25)&gt;0,ROUND(AVERAGE(AM25:AN25),2),"")</f>
        <v/>
      </c>
      <c r="AP25" s="10">
        <f>IF(AND(F25&gt;0,AO25&gt;0),ROUND(AO25/F25,4),"")</f>
        <v/>
      </c>
      <c r="AQ25" s="10">
        <f>IF(AND(AM25&gt;0,AN25&gt;0),ROUND((AN25/AM25)*100,2),"")</f>
        <v/>
      </c>
      <c r="AR25" s="9" t="inlineStr">
        <is>
          <t>P023_sanny.pdf</t>
        </is>
      </c>
      <c r="AS25" s="9" t="inlineStr">
        <is>
          <t>P023_biodex.pdf</t>
        </is>
      </c>
      <c r="AT25" s="9" t="n"/>
    </row>
    <row r="26">
      <c r="A26" s="8" t="inlineStr">
        <is>
          <t>P024</t>
        </is>
      </c>
      <c r="B26" s="9" t="n"/>
      <c r="C26" s="8" t="n"/>
      <c r="D26" s="8" t="n"/>
      <c r="E26" s="8" t="n"/>
      <c r="F26" s="10" t="n"/>
      <c r="G26" s="10" t="n"/>
      <c r="H26" s="10" t="n"/>
      <c r="I26" s="10" t="n"/>
      <c r="J26" s="10" t="n"/>
      <c r="K26" s="10" t="n"/>
      <c r="L26" s="10">
        <f>IF(AND(G26&gt;0,I26&gt;0),ROUND(I26/((G26/100)^2),2),"")</f>
        <v/>
      </c>
      <c r="M26" s="10" t="n"/>
      <c r="N26" s="10" t="n"/>
      <c r="O26" s="13" t="n"/>
      <c r="P26" s="8" t="inlineStr">
        <is>
          <t>D</t>
        </is>
      </c>
      <c r="Q26" s="10" t="n"/>
      <c r="R26" s="10" t="n"/>
      <c r="S26" s="10" t="n"/>
      <c r="T26" s="10" t="n"/>
      <c r="U26" s="10" t="n"/>
      <c r="V26" s="10" t="n"/>
      <c r="W26" s="10">
        <f>IF(COUNT(Q26:S26)&gt;0,MAX(Q26:S26),"")</f>
        <v/>
      </c>
      <c r="X26" s="10">
        <f>IF(COUNT(T26:V26)&gt;0,MAX(T26:V26),"")</f>
        <v/>
      </c>
      <c r="Y26" s="10">
        <f>IF(AND(F26&gt;0,COUNT(W26:X26)&gt;0),ROUND(AVERAGE(W26:X26)/F26,4),"")</f>
        <v/>
      </c>
      <c r="Z26" s="10" t="n"/>
      <c r="AA26" s="10">
        <f>IF(Z26&gt;0,ROUND(Z26*0.5,1),IF(F26&gt;0,ROUND(F26*0.4,1),""))</f>
        <v/>
      </c>
      <c r="AB26" s="10">
        <f>IF(Z26&gt;0,ROUND(Z26*0.6,1),IF(AA26&gt;0,ROUND(AA26/0.5*0.6,1),""))</f>
        <v/>
      </c>
      <c r="AC26" s="10">
        <f>IF(Z26&gt;0,ROUND(Z26*0.7,1),IF(AA26&gt;0,ROUND(AA26/0.5*0.7,1),""))</f>
        <v/>
      </c>
      <c r="AD26" s="10">
        <f>IF(Z26&gt;0,ROUND(Z26*0.8,1),IF(AA26&gt;0,ROUND(AA26/0.5*0.8,1),""))</f>
        <v/>
      </c>
      <c r="AE26" s="10">
        <f>IF(Z26&gt;0,ROUND(Z26*0.9,1),IF(AA26&gt;0,ROUND(AA26/0.5*0.9,1),""))</f>
        <v/>
      </c>
      <c r="AF26" s="10">
        <f>IF(Z26&gt;0,Z26,IF(AA26&gt;0,ROUND(AA26/0.5,1),""))</f>
        <v/>
      </c>
      <c r="AG26" s="10" t="n"/>
      <c r="AH26" s="10">
        <f>IF(AG26&gt;0,AG26,"")</f>
        <v/>
      </c>
      <c r="AI26" s="10">
        <f>IF(AND(F26&gt;0,OR(AG26&gt;0,AH26&gt;0)),ROUND(IF(AG26&gt;0,AG26,AH26)/F26,4),"")</f>
        <v/>
      </c>
      <c r="AJ26" s="10" t="n"/>
      <c r="AK26" s="10" t="n"/>
      <c r="AL26" s="10">
        <f>IF(COUNT(AJ26:AK26)&gt;0,MAX(AJ26:AK26),"")</f>
        <v/>
      </c>
      <c r="AM26" s="10" t="n"/>
      <c r="AN26" s="10" t="n"/>
      <c r="AO26" s="10">
        <f>IF(COUNT(AM26:AN26)&gt;0,ROUND(AVERAGE(AM26:AN26),2),"")</f>
        <v/>
      </c>
      <c r="AP26" s="10">
        <f>IF(AND(F26&gt;0,AO26&gt;0),ROUND(AO26/F26,4),"")</f>
        <v/>
      </c>
      <c r="AQ26" s="10">
        <f>IF(AND(AM26&gt;0,AN26&gt;0),ROUND((AN26/AM26)*100,2),"")</f>
        <v/>
      </c>
      <c r="AR26" s="9" t="inlineStr">
        <is>
          <t>P024_sanny.pdf</t>
        </is>
      </c>
      <c r="AS26" s="9" t="inlineStr">
        <is>
          <t>P024_biodex.pdf</t>
        </is>
      </c>
      <c r="AT26" s="9" t="n"/>
    </row>
    <row r="27">
      <c r="A27" s="8" t="inlineStr">
        <is>
          <t>P025</t>
        </is>
      </c>
      <c r="B27" s="9" t="n"/>
      <c r="C27" s="8" t="n"/>
      <c r="D27" s="8" t="n"/>
      <c r="E27" s="8" t="n"/>
      <c r="F27" s="10" t="n"/>
      <c r="G27" s="10" t="n"/>
      <c r="H27" s="10" t="n"/>
      <c r="I27" s="10" t="n"/>
      <c r="J27" s="10" t="n"/>
      <c r="K27" s="10" t="n"/>
      <c r="L27" s="10">
        <f>IF(AND(G27&gt;0,I27&gt;0),ROUND(I27/((G27/100)^2),2),"")</f>
        <v/>
      </c>
      <c r="M27" s="10" t="n"/>
      <c r="N27" s="10" t="n"/>
      <c r="O27" s="13" t="n"/>
      <c r="P27" s="8" t="inlineStr">
        <is>
          <t>D</t>
        </is>
      </c>
      <c r="Q27" s="10" t="n"/>
      <c r="R27" s="10" t="n"/>
      <c r="S27" s="10" t="n"/>
      <c r="T27" s="10" t="n"/>
      <c r="U27" s="10" t="n"/>
      <c r="V27" s="10" t="n"/>
      <c r="W27" s="10">
        <f>IF(COUNT(Q27:S27)&gt;0,MAX(Q27:S27),"")</f>
        <v/>
      </c>
      <c r="X27" s="10">
        <f>IF(COUNT(T27:V27)&gt;0,MAX(T27:V27),"")</f>
        <v/>
      </c>
      <c r="Y27" s="10">
        <f>IF(AND(F27&gt;0,COUNT(W27:X27)&gt;0),ROUND(AVERAGE(W27:X27)/F27,4),"")</f>
        <v/>
      </c>
      <c r="Z27" s="10" t="n"/>
      <c r="AA27" s="10">
        <f>IF(Z27&gt;0,ROUND(Z27*0.5,1),IF(F27&gt;0,ROUND(F27*0.4,1),""))</f>
        <v/>
      </c>
      <c r="AB27" s="10">
        <f>IF(Z27&gt;0,ROUND(Z27*0.6,1),IF(AA27&gt;0,ROUND(AA27/0.5*0.6,1),""))</f>
        <v/>
      </c>
      <c r="AC27" s="10">
        <f>IF(Z27&gt;0,ROUND(Z27*0.7,1),IF(AA27&gt;0,ROUND(AA27/0.5*0.7,1),""))</f>
        <v/>
      </c>
      <c r="AD27" s="10">
        <f>IF(Z27&gt;0,ROUND(Z27*0.8,1),IF(AA27&gt;0,ROUND(AA27/0.5*0.8,1),""))</f>
        <v/>
      </c>
      <c r="AE27" s="10">
        <f>IF(Z27&gt;0,ROUND(Z27*0.9,1),IF(AA27&gt;0,ROUND(AA27/0.5*0.9,1),""))</f>
        <v/>
      </c>
      <c r="AF27" s="10">
        <f>IF(Z27&gt;0,Z27,IF(AA27&gt;0,ROUND(AA27/0.5,1),""))</f>
        <v/>
      </c>
      <c r="AG27" s="10" t="n"/>
      <c r="AH27" s="10">
        <f>IF(AG27&gt;0,AG27,"")</f>
        <v/>
      </c>
      <c r="AI27" s="10">
        <f>IF(AND(F27&gt;0,OR(AG27&gt;0,AH27&gt;0)),ROUND(IF(AG27&gt;0,AG27,AH27)/F27,4),"")</f>
        <v/>
      </c>
      <c r="AJ27" s="10" t="n"/>
      <c r="AK27" s="10" t="n"/>
      <c r="AL27" s="10">
        <f>IF(COUNT(AJ27:AK27)&gt;0,MAX(AJ27:AK27),"")</f>
        <v/>
      </c>
      <c r="AM27" s="10" t="n"/>
      <c r="AN27" s="10" t="n"/>
      <c r="AO27" s="10">
        <f>IF(COUNT(AM27:AN27)&gt;0,ROUND(AVERAGE(AM27:AN27),2),"")</f>
        <v/>
      </c>
      <c r="AP27" s="10">
        <f>IF(AND(F27&gt;0,AO27&gt;0),ROUND(AO27/F27,4),"")</f>
        <v/>
      </c>
      <c r="AQ27" s="10">
        <f>IF(AND(AM27&gt;0,AN27&gt;0),ROUND((AN27/AM27)*100,2),"")</f>
        <v/>
      </c>
      <c r="AR27" s="9" t="inlineStr">
        <is>
          <t>P025_sanny.pdf</t>
        </is>
      </c>
      <c r="AS27" s="9" t="inlineStr">
        <is>
          <t>P025_biodex.pdf</t>
        </is>
      </c>
      <c r="AT27" s="9" t="n"/>
    </row>
    <row r="28">
      <c r="A28" s="8" t="inlineStr">
        <is>
          <t>P026</t>
        </is>
      </c>
      <c r="B28" s="9" t="n"/>
      <c r="C28" s="8" t="n"/>
      <c r="D28" s="8" t="n"/>
      <c r="E28" s="8" t="n"/>
      <c r="F28" s="10" t="n"/>
      <c r="G28" s="10" t="n"/>
      <c r="H28" s="10" t="n"/>
      <c r="I28" s="10" t="n"/>
      <c r="J28" s="10" t="n"/>
      <c r="K28" s="10" t="n"/>
      <c r="L28" s="10">
        <f>IF(AND(G28&gt;0,I28&gt;0),ROUND(I28/((G28/100)^2),2),"")</f>
        <v/>
      </c>
      <c r="M28" s="10" t="n"/>
      <c r="N28" s="10" t="n"/>
      <c r="O28" s="13" t="n"/>
      <c r="P28" s="8" t="inlineStr">
        <is>
          <t>D</t>
        </is>
      </c>
      <c r="Q28" s="10" t="n"/>
      <c r="R28" s="10" t="n"/>
      <c r="S28" s="10" t="n"/>
      <c r="T28" s="10" t="n"/>
      <c r="U28" s="10" t="n"/>
      <c r="V28" s="10" t="n"/>
      <c r="W28" s="10">
        <f>IF(COUNT(Q28:S28)&gt;0,MAX(Q28:S28),"")</f>
        <v/>
      </c>
      <c r="X28" s="10">
        <f>IF(COUNT(T28:V28)&gt;0,MAX(T28:V28),"")</f>
        <v/>
      </c>
      <c r="Y28" s="10">
        <f>IF(AND(F28&gt;0,COUNT(W28:X28)&gt;0),ROUND(AVERAGE(W28:X28)/F28,4),"")</f>
        <v/>
      </c>
      <c r="Z28" s="10" t="n"/>
      <c r="AA28" s="10">
        <f>IF(Z28&gt;0,ROUND(Z28*0.5,1),IF(F28&gt;0,ROUND(F28*0.4,1),""))</f>
        <v/>
      </c>
      <c r="AB28" s="10">
        <f>IF(Z28&gt;0,ROUND(Z28*0.6,1),IF(AA28&gt;0,ROUND(AA28/0.5*0.6,1),""))</f>
        <v/>
      </c>
      <c r="AC28" s="10">
        <f>IF(Z28&gt;0,ROUND(Z28*0.7,1),IF(AA28&gt;0,ROUND(AA28/0.5*0.7,1),""))</f>
        <v/>
      </c>
      <c r="AD28" s="10">
        <f>IF(Z28&gt;0,ROUND(Z28*0.8,1),IF(AA28&gt;0,ROUND(AA28/0.5*0.8,1),""))</f>
        <v/>
      </c>
      <c r="AE28" s="10">
        <f>IF(Z28&gt;0,ROUND(Z28*0.9,1),IF(AA28&gt;0,ROUND(AA28/0.5*0.9,1),""))</f>
        <v/>
      </c>
      <c r="AF28" s="10">
        <f>IF(Z28&gt;0,Z28,IF(AA28&gt;0,ROUND(AA28/0.5,1),""))</f>
        <v/>
      </c>
      <c r="AG28" s="10" t="n"/>
      <c r="AH28" s="10">
        <f>IF(AG28&gt;0,AG28,"")</f>
        <v/>
      </c>
      <c r="AI28" s="10">
        <f>IF(AND(F28&gt;0,OR(AG28&gt;0,AH28&gt;0)),ROUND(IF(AG28&gt;0,AG28,AH28)/F28,4),"")</f>
        <v/>
      </c>
      <c r="AJ28" s="10" t="n"/>
      <c r="AK28" s="10" t="n"/>
      <c r="AL28" s="10">
        <f>IF(COUNT(AJ28:AK28)&gt;0,MAX(AJ28:AK28),"")</f>
        <v/>
      </c>
      <c r="AM28" s="10" t="n"/>
      <c r="AN28" s="10" t="n"/>
      <c r="AO28" s="10">
        <f>IF(COUNT(AM28:AN28)&gt;0,ROUND(AVERAGE(AM28:AN28),2),"")</f>
        <v/>
      </c>
      <c r="AP28" s="10">
        <f>IF(AND(F28&gt;0,AO28&gt;0),ROUND(AO28/F28,4),"")</f>
        <v/>
      </c>
      <c r="AQ28" s="10">
        <f>IF(AND(AM28&gt;0,AN28&gt;0),ROUND((AN28/AM28)*100,2),"")</f>
        <v/>
      </c>
      <c r="AR28" s="9" t="inlineStr">
        <is>
          <t>P026_sanny.pdf</t>
        </is>
      </c>
      <c r="AS28" s="9" t="inlineStr">
        <is>
          <t>P026_biodex.pdf</t>
        </is>
      </c>
      <c r="AT28" s="9" t="n"/>
    </row>
    <row r="29">
      <c r="A29" s="8" t="inlineStr">
        <is>
          <t>P027</t>
        </is>
      </c>
      <c r="B29" s="9" t="n"/>
      <c r="C29" s="8" t="n"/>
      <c r="D29" s="8" t="n"/>
      <c r="E29" s="8" t="n"/>
      <c r="F29" s="10" t="n"/>
      <c r="G29" s="10" t="n"/>
      <c r="H29" s="10" t="n"/>
      <c r="I29" s="10" t="n"/>
      <c r="J29" s="10" t="n"/>
      <c r="K29" s="10" t="n"/>
      <c r="L29" s="10">
        <f>IF(AND(G29&gt;0,I29&gt;0),ROUND(I29/((G29/100)^2),2),"")</f>
        <v/>
      </c>
      <c r="M29" s="10" t="n"/>
      <c r="N29" s="10" t="n"/>
      <c r="O29" s="13" t="n"/>
      <c r="P29" s="8" t="inlineStr">
        <is>
          <t>D</t>
        </is>
      </c>
      <c r="Q29" s="10" t="n"/>
      <c r="R29" s="10" t="n"/>
      <c r="S29" s="10" t="n"/>
      <c r="T29" s="10" t="n"/>
      <c r="U29" s="10" t="n"/>
      <c r="V29" s="10" t="n"/>
      <c r="W29" s="10">
        <f>IF(COUNT(Q29:S29)&gt;0,MAX(Q29:S29),"")</f>
        <v/>
      </c>
      <c r="X29" s="10">
        <f>IF(COUNT(T29:V29)&gt;0,MAX(T29:V29),"")</f>
        <v/>
      </c>
      <c r="Y29" s="10">
        <f>IF(AND(F29&gt;0,COUNT(W29:X29)&gt;0),ROUND(AVERAGE(W29:X29)/F29,4),"")</f>
        <v/>
      </c>
      <c r="Z29" s="10" t="n"/>
      <c r="AA29" s="10">
        <f>IF(Z29&gt;0,ROUND(Z29*0.5,1),IF(F29&gt;0,ROUND(F29*0.4,1),""))</f>
        <v/>
      </c>
      <c r="AB29" s="10">
        <f>IF(Z29&gt;0,ROUND(Z29*0.6,1),IF(AA29&gt;0,ROUND(AA29/0.5*0.6,1),""))</f>
        <v/>
      </c>
      <c r="AC29" s="10">
        <f>IF(Z29&gt;0,ROUND(Z29*0.7,1),IF(AA29&gt;0,ROUND(AA29/0.5*0.7,1),""))</f>
        <v/>
      </c>
      <c r="AD29" s="10">
        <f>IF(Z29&gt;0,ROUND(Z29*0.8,1),IF(AA29&gt;0,ROUND(AA29/0.5*0.8,1),""))</f>
        <v/>
      </c>
      <c r="AE29" s="10">
        <f>IF(Z29&gt;0,ROUND(Z29*0.9,1),IF(AA29&gt;0,ROUND(AA29/0.5*0.9,1),""))</f>
        <v/>
      </c>
      <c r="AF29" s="10">
        <f>IF(Z29&gt;0,Z29,IF(AA29&gt;0,ROUND(AA29/0.5,1),""))</f>
        <v/>
      </c>
      <c r="AG29" s="10" t="n"/>
      <c r="AH29" s="10">
        <f>IF(AG29&gt;0,AG29,"")</f>
        <v/>
      </c>
      <c r="AI29" s="10">
        <f>IF(AND(F29&gt;0,OR(AG29&gt;0,AH29&gt;0)),ROUND(IF(AG29&gt;0,AG29,AH29)/F29,4),"")</f>
        <v/>
      </c>
      <c r="AJ29" s="10" t="n"/>
      <c r="AK29" s="10" t="n"/>
      <c r="AL29" s="10">
        <f>IF(COUNT(AJ29:AK29)&gt;0,MAX(AJ29:AK29),"")</f>
        <v/>
      </c>
      <c r="AM29" s="10" t="n"/>
      <c r="AN29" s="10" t="n"/>
      <c r="AO29" s="10">
        <f>IF(COUNT(AM29:AN29)&gt;0,ROUND(AVERAGE(AM29:AN29),2),"")</f>
        <v/>
      </c>
      <c r="AP29" s="10">
        <f>IF(AND(F29&gt;0,AO29&gt;0),ROUND(AO29/F29,4),"")</f>
        <v/>
      </c>
      <c r="AQ29" s="10">
        <f>IF(AND(AM29&gt;0,AN29&gt;0),ROUND((AN29/AM29)*100,2),"")</f>
        <v/>
      </c>
      <c r="AR29" s="9" t="inlineStr">
        <is>
          <t>P027_sanny.pdf</t>
        </is>
      </c>
      <c r="AS29" s="9" t="inlineStr">
        <is>
          <t>P027_biodex.pdf</t>
        </is>
      </c>
      <c r="AT29" s="9" t="n"/>
    </row>
    <row r="30">
      <c r="A30" s="8" t="inlineStr">
        <is>
          <t>P028</t>
        </is>
      </c>
      <c r="B30" s="9" t="n"/>
      <c r="C30" s="8" t="n"/>
      <c r="D30" s="8" t="n"/>
      <c r="E30" s="8" t="n"/>
      <c r="F30" s="10" t="n"/>
      <c r="G30" s="10" t="n"/>
      <c r="H30" s="10" t="n"/>
      <c r="I30" s="10" t="n"/>
      <c r="J30" s="10" t="n"/>
      <c r="K30" s="10" t="n"/>
      <c r="L30" s="10">
        <f>IF(AND(G30&gt;0,I30&gt;0),ROUND(I30/((G30/100)^2),2),"")</f>
        <v/>
      </c>
      <c r="M30" s="10" t="n"/>
      <c r="N30" s="10" t="n"/>
      <c r="O30" s="13" t="n"/>
      <c r="P30" s="8" t="inlineStr">
        <is>
          <t>D</t>
        </is>
      </c>
      <c r="Q30" s="10" t="n"/>
      <c r="R30" s="10" t="n"/>
      <c r="S30" s="10" t="n"/>
      <c r="T30" s="10" t="n"/>
      <c r="U30" s="10" t="n"/>
      <c r="V30" s="10" t="n"/>
      <c r="W30" s="10">
        <f>IF(COUNT(Q30:S30)&gt;0,MAX(Q30:S30),"")</f>
        <v/>
      </c>
      <c r="X30" s="10">
        <f>IF(COUNT(T30:V30)&gt;0,MAX(T30:V30),"")</f>
        <v/>
      </c>
      <c r="Y30" s="10">
        <f>IF(AND(F30&gt;0,COUNT(W30:X30)&gt;0),ROUND(AVERAGE(W30:X30)/F30,4),"")</f>
        <v/>
      </c>
      <c r="Z30" s="10" t="n"/>
      <c r="AA30" s="10">
        <f>IF(Z30&gt;0,ROUND(Z30*0.5,1),IF(F30&gt;0,ROUND(F30*0.4,1),""))</f>
        <v/>
      </c>
      <c r="AB30" s="10">
        <f>IF(Z30&gt;0,ROUND(Z30*0.6,1),IF(AA30&gt;0,ROUND(AA30/0.5*0.6,1),""))</f>
        <v/>
      </c>
      <c r="AC30" s="10">
        <f>IF(Z30&gt;0,ROUND(Z30*0.7,1),IF(AA30&gt;0,ROUND(AA30/0.5*0.7,1),""))</f>
        <v/>
      </c>
      <c r="AD30" s="10">
        <f>IF(Z30&gt;0,ROUND(Z30*0.8,1),IF(AA30&gt;0,ROUND(AA30/0.5*0.8,1),""))</f>
        <v/>
      </c>
      <c r="AE30" s="10">
        <f>IF(Z30&gt;0,ROUND(Z30*0.9,1),IF(AA30&gt;0,ROUND(AA30/0.5*0.9,1),""))</f>
        <v/>
      </c>
      <c r="AF30" s="10">
        <f>IF(Z30&gt;0,Z30,IF(AA30&gt;0,ROUND(AA30/0.5,1),""))</f>
        <v/>
      </c>
      <c r="AG30" s="10" t="n"/>
      <c r="AH30" s="10">
        <f>IF(AG30&gt;0,AG30,"")</f>
        <v/>
      </c>
      <c r="AI30" s="10">
        <f>IF(AND(F30&gt;0,OR(AG30&gt;0,AH30&gt;0)),ROUND(IF(AG30&gt;0,AG30,AH30)/F30,4),"")</f>
        <v/>
      </c>
      <c r="AJ30" s="10" t="n"/>
      <c r="AK30" s="10" t="n"/>
      <c r="AL30" s="10">
        <f>IF(COUNT(AJ30:AK30)&gt;0,MAX(AJ30:AK30),"")</f>
        <v/>
      </c>
      <c r="AM30" s="10" t="n"/>
      <c r="AN30" s="10" t="n"/>
      <c r="AO30" s="10">
        <f>IF(COUNT(AM30:AN30)&gt;0,ROUND(AVERAGE(AM30:AN30),2),"")</f>
        <v/>
      </c>
      <c r="AP30" s="10">
        <f>IF(AND(F30&gt;0,AO30&gt;0),ROUND(AO30/F30,4),"")</f>
        <v/>
      </c>
      <c r="AQ30" s="10">
        <f>IF(AND(AM30&gt;0,AN30&gt;0),ROUND((AN30/AM30)*100,2),"")</f>
        <v/>
      </c>
      <c r="AR30" s="9" t="inlineStr">
        <is>
          <t>P028_sanny.pdf</t>
        </is>
      </c>
      <c r="AS30" s="9" t="inlineStr">
        <is>
          <t>P028_biodex.pdf</t>
        </is>
      </c>
      <c r="AT30" s="9" t="n"/>
    </row>
    <row r="31">
      <c r="A31" s="8" t="inlineStr">
        <is>
          <t>P029</t>
        </is>
      </c>
      <c r="B31" s="9" t="n"/>
      <c r="C31" s="8" t="n"/>
      <c r="D31" s="8" t="n"/>
      <c r="E31" s="8" t="n"/>
      <c r="F31" s="10" t="n"/>
      <c r="G31" s="10" t="n"/>
      <c r="H31" s="10" t="n"/>
      <c r="I31" s="10" t="n"/>
      <c r="J31" s="10" t="n"/>
      <c r="K31" s="10" t="n"/>
      <c r="L31" s="10">
        <f>IF(AND(G31&gt;0,I31&gt;0),ROUND(I31/((G31/100)^2),2),"")</f>
        <v/>
      </c>
      <c r="M31" s="10" t="n"/>
      <c r="N31" s="10" t="n"/>
      <c r="O31" s="13" t="n"/>
      <c r="P31" s="8" t="inlineStr">
        <is>
          <t>D</t>
        </is>
      </c>
      <c r="Q31" s="10" t="n"/>
      <c r="R31" s="10" t="n"/>
      <c r="S31" s="10" t="n"/>
      <c r="T31" s="10" t="n"/>
      <c r="U31" s="10" t="n"/>
      <c r="V31" s="10" t="n"/>
      <c r="W31" s="10">
        <f>IF(COUNT(Q31:S31)&gt;0,MAX(Q31:S31),"")</f>
        <v/>
      </c>
      <c r="X31" s="10">
        <f>IF(COUNT(T31:V31)&gt;0,MAX(T31:V31),"")</f>
        <v/>
      </c>
      <c r="Y31" s="10">
        <f>IF(AND(F31&gt;0,COUNT(W31:X31)&gt;0),ROUND(AVERAGE(W31:X31)/F31,4),"")</f>
        <v/>
      </c>
      <c r="Z31" s="10" t="n"/>
      <c r="AA31" s="10">
        <f>IF(Z31&gt;0,ROUND(Z31*0.5,1),IF(F31&gt;0,ROUND(F31*0.4,1),""))</f>
        <v/>
      </c>
      <c r="AB31" s="10">
        <f>IF(Z31&gt;0,ROUND(Z31*0.6,1),IF(AA31&gt;0,ROUND(AA31/0.5*0.6,1),""))</f>
        <v/>
      </c>
      <c r="AC31" s="10">
        <f>IF(Z31&gt;0,ROUND(Z31*0.7,1),IF(AA31&gt;0,ROUND(AA31/0.5*0.7,1),""))</f>
        <v/>
      </c>
      <c r="AD31" s="10">
        <f>IF(Z31&gt;0,ROUND(Z31*0.8,1),IF(AA31&gt;0,ROUND(AA31/0.5*0.8,1),""))</f>
        <v/>
      </c>
      <c r="AE31" s="10">
        <f>IF(Z31&gt;0,ROUND(Z31*0.9,1),IF(AA31&gt;0,ROUND(AA31/0.5*0.9,1),""))</f>
        <v/>
      </c>
      <c r="AF31" s="10">
        <f>IF(Z31&gt;0,Z31,IF(AA31&gt;0,ROUND(AA31/0.5,1),""))</f>
        <v/>
      </c>
      <c r="AG31" s="10" t="n"/>
      <c r="AH31" s="10">
        <f>IF(AG31&gt;0,AG31,"")</f>
        <v/>
      </c>
      <c r="AI31" s="10">
        <f>IF(AND(F31&gt;0,OR(AG31&gt;0,AH31&gt;0)),ROUND(IF(AG31&gt;0,AG31,AH31)/F31,4),"")</f>
        <v/>
      </c>
      <c r="AJ31" s="10" t="n"/>
      <c r="AK31" s="10" t="n"/>
      <c r="AL31" s="10">
        <f>IF(COUNT(AJ31:AK31)&gt;0,MAX(AJ31:AK31),"")</f>
        <v/>
      </c>
      <c r="AM31" s="10" t="n"/>
      <c r="AN31" s="10" t="n"/>
      <c r="AO31" s="10">
        <f>IF(COUNT(AM31:AN31)&gt;0,ROUND(AVERAGE(AM31:AN31),2),"")</f>
        <v/>
      </c>
      <c r="AP31" s="10">
        <f>IF(AND(F31&gt;0,AO31&gt;0),ROUND(AO31/F31,4),"")</f>
        <v/>
      </c>
      <c r="AQ31" s="10">
        <f>IF(AND(AM31&gt;0,AN31&gt;0),ROUND((AN31/AM31)*100,2),"")</f>
        <v/>
      </c>
      <c r="AR31" s="9" t="inlineStr">
        <is>
          <t>P029_sanny.pdf</t>
        </is>
      </c>
      <c r="AS31" s="9" t="inlineStr">
        <is>
          <t>P029_biodex.pdf</t>
        </is>
      </c>
      <c r="AT31" s="9" t="n"/>
    </row>
    <row r="32">
      <c r="A32" s="8" t="inlineStr">
        <is>
          <t>P030</t>
        </is>
      </c>
      <c r="B32" s="9" t="n"/>
      <c r="C32" s="8" t="n"/>
      <c r="D32" s="8" t="n"/>
      <c r="E32" s="8" t="n"/>
      <c r="F32" s="10" t="n"/>
      <c r="G32" s="10" t="n"/>
      <c r="H32" s="10" t="n"/>
      <c r="I32" s="10" t="n"/>
      <c r="J32" s="10" t="n"/>
      <c r="K32" s="10" t="n"/>
      <c r="L32" s="10">
        <f>IF(AND(G32&gt;0,I32&gt;0),ROUND(I32/((G32/100)^2),2),"")</f>
        <v/>
      </c>
      <c r="M32" s="10" t="n"/>
      <c r="N32" s="10" t="n"/>
      <c r="O32" s="13" t="n"/>
      <c r="P32" s="8" t="inlineStr">
        <is>
          <t>D</t>
        </is>
      </c>
      <c r="Q32" s="10" t="n"/>
      <c r="R32" s="10" t="n"/>
      <c r="S32" s="10" t="n"/>
      <c r="T32" s="10" t="n"/>
      <c r="U32" s="10" t="n"/>
      <c r="V32" s="10" t="n"/>
      <c r="W32" s="10">
        <f>IF(COUNT(Q32:S32)&gt;0,MAX(Q32:S32),"")</f>
        <v/>
      </c>
      <c r="X32" s="10">
        <f>IF(COUNT(T32:V32)&gt;0,MAX(T32:V32),"")</f>
        <v/>
      </c>
      <c r="Y32" s="10">
        <f>IF(AND(F32&gt;0,COUNT(W32:X32)&gt;0),ROUND(AVERAGE(W32:X32)/F32,4),"")</f>
        <v/>
      </c>
      <c r="Z32" s="10" t="n"/>
      <c r="AA32" s="10">
        <f>IF(Z32&gt;0,ROUND(Z32*0.5,1),IF(F32&gt;0,ROUND(F32*0.4,1),""))</f>
        <v/>
      </c>
      <c r="AB32" s="10">
        <f>IF(Z32&gt;0,ROUND(Z32*0.6,1),IF(AA32&gt;0,ROUND(AA32/0.5*0.6,1),""))</f>
        <v/>
      </c>
      <c r="AC32" s="10">
        <f>IF(Z32&gt;0,ROUND(Z32*0.7,1),IF(AA32&gt;0,ROUND(AA32/0.5*0.7,1),""))</f>
        <v/>
      </c>
      <c r="AD32" s="10">
        <f>IF(Z32&gt;0,ROUND(Z32*0.8,1),IF(AA32&gt;0,ROUND(AA32/0.5*0.8,1),""))</f>
        <v/>
      </c>
      <c r="AE32" s="10">
        <f>IF(Z32&gt;0,ROUND(Z32*0.9,1),IF(AA32&gt;0,ROUND(AA32/0.5*0.9,1),""))</f>
        <v/>
      </c>
      <c r="AF32" s="10">
        <f>IF(Z32&gt;0,Z32,IF(AA32&gt;0,ROUND(AA32/0.5,1),""))</f>
        <v/>
      </c>
      <c r="AG32" s="10" t="n"/>
      <c r="AH32" s="10">
        <f>IF(AG32&gt;0,AG32,"")</f>
        <v/>
      </c>
      <c r="AI32" s="10">
        <f>IF(AND(F32&gt;0,OR(AG32&gt;0,AH32&gt;0)),ROUND(IF(AG32&gt;0,AG32,AH32)/F32,4),"")</f>
        <v/>
      </c>
      <c r="AJ32" s="10" t="n"/>
      <c r="AK32" s="10" t="n"/>
      <c r="AL32" s="10">
        <f>IF(COUNT(AJ32:AK32)&gt;0,MAX(AJ32:AK32),"")</f>
        <v/>
      </c>
      <c r="AM32" s="10" t="n"/>
      <c r="AN32" s="10" t="n"/>
      <c r="AO32" s="10">
        <f>IF(COUNT(AM32:AN32)&gt;0,ROUND(AVERAGE(AM32:AN32),2),"")</f>
        <v/>
      </c>
      <c r="AP32" s="10">
        <f>IF(AND(F32&gt;0,AO32&gt;0),ROUND(AO32/F32,4),"")</f>
        <v/>
      </c>
      <c r="AQ32" s="10">
        <f>IF(AND(AM32&gt;0,AN32&gt;0),ROUND((AN32/AM32)*100,2),"")</f>
        <v/>
      </c>
      <c r="AR32" s="9" t="inlineStr">
        <is>
          <t>P030_sanny.pdf</t>
        </is>
      </c>
      <c r="AS32" s="9" t="inlineStr">
        <is>
          <t>P030_biodex.pdf</t>
        </is>
      </c>
      <c r="AT32" s="9" t="n"/>
    </row>
    <row r="33">
      <c r="A33" s="8" t="inlineStr">
        <is>
          <t>P031</t>
        </is>
      </c>
      <c r="B33" s="9" t="n"/>
      <c r="C33" s="8" t="n"/>
      <c r="D33" s="8" t="n"/>
      <c r="E33" s="8" t="n"/>
      <c r="F33" s="10" t="n"/>
      <c r="G33" s="10" t="n"/>
      <c r="H33" s="10" t="n"/>
      <c r="I33" s="10" t="n"/>
      <c r="J33" s="10" t="n"/>
      <c r="K33" s="10" t="n"/>
      <c r="L33" s="10">
        <f>IF(AND(G33&gt;0,I33&gt;0),ROUND(I33/((G33/100)^2),2),"")</f>
        <v/>
      </c>
      <c r="M33" s="10" t="n"/>
      <c r="N33" s="10" t="n"/>
      <c r="O33" s="13" t="n"/>
      <c r="P33" s="8" t="inlineStr">
        <is>
          <t>D</t>
        </is>
      </c>
      <c r="Q33" s="10" t="n"/>
      <c r="R33" s="10" t="n"/>
      <c r="S33" s="10" t="n"/>
      <c r="T33" s="10" t="n"/>
      <c r="U33" s="10" t="n"/>
      <c r="V33" s="10" t="n"/>
      <c r="W33" s="10">
        <f>IF(COUNT(Q33:S33)&gt;0,MAX(Q33:S33),"")</f>
        <v/>
      </c>
      <c r="X33" s="10">
        <f>IF(COUNT(T33:V33)&gt;0,MAX(T33:V33),"")</f>
        <v/>
      </c>
      <c r="Y33" s="10">
        <f>IF(AND(F33&gt;0,COUNT(W33:X33)&gt;0),ROUND(AVERAGE(W33:X33)/F33,4),"")</f>
        <v/>
      </c>
      <c r="Z33" s="10" t="n"/>
      <c r="AA33" s="10">
        <f>IF(Z33&gt;0,ROUND(Z33*0.5,1),IF(F33&gt;0,ROUND(F33*0.4,1),""))</f>
        <v/>
      </c>
      <c r="AB33" s="10">
        <f>IF(Z33&gt;0,ROUND(Z33*0.6,1),IF(AA33&gt;0,ROUND(AA33/0.5*0.6,1),""))</f>
        <v/>
      </c>
      <c r="AC33" s="10">
        <f>IF(Z33&gt;0,ROUND(Z33*0.7,1),IF(AA33&gt;0,ROUND(AA33/0.5*0.7,1),""))</f>
        <v/>
      </c>
      <c r="AD33" s="10">
        <f>IF(Z33&gt;0,ROUND(Z33*0.8,1),IF(AA33&gt;0,ROUND(AA33/0.5*0.8,1),""))</f>
        <v/>
      </c>
      <c r="AE33" s="10">
        <f>IF(Z33&gt;0,ROUND(Z33*0.9,1),IF(AA33&gt;0,ROUND(AA33/0.5*0.9,1),""))</f>
        <v/>
      </c>
      <c r="AF33" s="10">
        <f>IF(Z33&gt;0,Z33,IF(AA33&gt;0,ROUND(AA33/0.5,1),""))</f>
        <v/>
      </c>
      <c r="AG33" s="10" t="n"/>
      <c r="AH33" s="10">
        <f>IF(AG33&gt;0,AG33,"")</f>
        <v/>
      </c>
      <c r="AI33" s="10">
        <f>IF(AND(F33&gt;0,OR(AG33&gt;0,AH33&gt;0)),ROUND(IF(AG33&gt;0,AG33,AH33)/F33,4),"")</f>
        <v/>
      </c>
      <c r="AJ33" s="10" t="n"/>
      <c r="AK33" s="10" t="n"/>
      <c r="AL33" s="10">
        <f>IF(COUNT(AJ33:AK33)&gt;0,MAX(AJ33:AK33),"")</f>
        <v/>
      </c>
      <c r="AM33" s="10" t="n"/>
      <c r="AN33" s="10" t="n"/>
      <c r="AO33" s="10">
        <f>IF(COUNT(AM33:AN33)&gt;0,ROUND(AVERAGE(AM33:AN33),2),"")</f>
        <v/>
      </c>
      <c r="AP33" s="10">
        <f>IF(AND(F33&gt;0,AO33&gt;0),ROUND(AO33/F33,4),"")</f>
        <v/>
      </c>
      <c r="AQ33" s="10">
        <f>IF(AND(AM33&gt;0,AN33&gt;0),ROUND((AN33/AM33)*100,2),"")</f>
        <v/>
      </c>
      <c r="AR33" s="9" t="inlineStr">
        <is>
          <t>P031_sanny.pdf</t>
        </is>
      </c>
      <c r="AS33" s="9" t="inlineStr">
        <is>
          <t>P031_biodex.pdf</t>
        </is>
      </c>
      <c r="AT33" s="9" t="n"/>
    </row>
    <row r="34">
      <c r="A34" s="8" t="inlineStr">
        <is>
          <t>P032</t>
        </is>
      </c>
      <c r="B34" s="9" t="n"/>
      <c r="C34" s="8" t="n"/>
      <c r="D34" s="8" t="n"/>
      <c r="E34" s="8" t="n"/>
      <c r="F34" s="10" t="n"/>
      <c r="G34" s="10" t="n"/>
      <c r="H34" s="10" t="n"/>
      <c r="I34" s="10" t="n"/>
      <c r="J34" s="10" t="n"/>
      <c r="K34" s="10" t="n"/>
      <c r="L34" s="10">
        <f>IF(AND(G34&gt;0,I34&gt;0),ROUND(I34/((G34/100)^2),2),"")</f>
        <v/>
      </c>
      <c r="M34" s="10" t="n"/>
      <c r="N34" s="10" t="n"/>
      <c r="O34" s="13" t="n"/>
      <c r="P34" s="8" t="inlineStr">
        <is>
          <t>D</t>
        </is>
      </c>
      <c r="Q34" s="10" t="n"/>
      <c r="R34" s="10" t="n"/>
      <c r="S34" s="10" t="n"/>
      <c r="T34" s="10" t="n"/>
      <c r="U34" s="10" t="n"/>
      <c r="V34" s="10" t="n"/>
      <c r="W34" s="10">
        <f>IF(COUNT(Q34:S34)&gt;0,MAX(Q34:S34),"")</f>
        <v/>
      </c>
      <c r="X34" s="10">
        <f>IF(COUNT(T34:V34)&gt;0,MAX(T34:V34),"")</f>
        <v/>
      </c>
      <c r="Y34" s="10">
        <f>IF(AND(F34&gt;0,COUNT(W34:X34)&gt;0),ROUND(AVERAGE(W34:X34)/F34,4),"")</f>
        <v/>
      </c>
      <c r="Z34" s="10" t="n"/>
      <c r="AA34" s="10">
        <f>IF(Z34&gt;0,ROUND(Z34*0.5,1),IF(F34&gt;0,ROUND(F34*0.4,1),""))</f>
        <v/>
      </c>
      <c r="AB34" s="10">
        <f>IF(Z34&gt;0,ROUND(Z34*0.6,1),IF(AA34&gt;0,ROUND(AA34/0.5*0.6,1),""))</f>
        <v/>
      </c>
      <c r="AC34" s="10">
        <f>IF(Z34&gt;0,ROUND(Z34*0.7,1),IF(AA34&gt;0,ROUND(AA34/0.5*0.7,1),""))</f>
        <v/>
      </c>
      <c r="AD34" s="10">
        <f>IF(Z34&gt;0,ROUND(Z34*0.8,1),IF(AA34&gt;0,ROUND(AA34/0.5*0.8,1),""))</f>
        <v/>
      </c>
      <c r="AE34" s="10">
        <f>IF(Z34&gt;0,ROUND(Z34*0.9,1),IF(AA34&gt;0,ROUND(AA34/0.5*0.9,1),""))</f>
        <v/>
      </c>
      <c r="AF34" s="10">
        <f>IF(Z34&gt;0,Z34,IF(AA34&gt;0,ROUND(AA34/0.5,1),""))</f>
        <v/>
      </c>
      <c r="AG34" s="10" t="n"/>
      <c r="AH34" s="10">
        <f>IF(AG34&gt;0,AG34,"")</f>
        <v/>
      </c>
      <c r="AI34" s="10">
        <f>IF(AND(F34&gt;0,OR(AG34&gt;0,AH34&gt;0)),ROUND(IF(AG34&gt;0,AG34,AH34)/F34,4),"")</f>
        <v/>
      </c>
      <c r="AJ34" s="10" t="n"/>
      <c r="AK34" s="10" t="n"/>
      <c r="AL34" s="10">
        <f>IF(COUNT(AJ34:AK34)&gt;0,MAX(AJ34:AK34),"")</f>
        <v/>
      </c>
      <c r="AM34" s="10" t="n"/>
      <c r="AN34" s="10" t="n"/>
      <c r="AO34" s="10">
        <f>IF(COUNT(AM34:AN34)&gt;0,ROUND(AVERAGE(AM34:AN34),2),"")</f>
        <v/>
      </c>
      <c r="AP34" s="10">
        <f>IF(AND(F34&gt;0,AO34&gt;0),ROUND(AO34/F34,4),"")</f>
        <v/>
      </c>
      <c r="AQ34" s="10">
        <f>IF(AND(AM34&gt;0,AN34&gt;0),ROUND((AN34/AM34)*100,2),"")</f>
        <v/>
      </c>
      <c r="AR34" s="9" t="inlineStr">
        <is>
          <t>P032_sanny.pdf</t>
        </is>
      </c>
      <c r="AS34" s="9" t="inlineStr">
        <is>
          <t>P032_biodex.pdf</t>
        </is>
      </c>
      <c r="AT34" s="9" t="n"/>
    </row>
    <row r="35">
      <c r="A35" s="8" t="inlineStr">
        <is>
          <t>P033</t>
        </is>
      </c>
      <c r="B35" s="9" t="n"/>
      <c r="C35" s="8" t="n"/>
      <c r="D35" s="8" t="n"/>
      <c r="E35" s="8" t="n"/>
      <c r="F35" s="10" t="n"/>
      <c r="G35" s="10" t="n"/>
      <c r="H35" s="10" t="n"/>
      <c r="I35" s="10" t="n"/>
      <c r="J35" s="10" t="n"/>
      <c r="K35" s="10" t="n"/>
      <c r="L35" s="10">
        <f>IF(AND(G35&gt;0,I35&gt;0),ROUND(I35/((G35/100)^2),2),"")</f>
        <v/>
      </c>
      <c r="M35" s="10" t="n"/>
      <c r="N35" s="10" t="n"/>
      <c r="O35" s="13" t="n"/>
      <c r="P35" s="8" t="inlineStr">
        <is>
          <t>D</t>
        </is>
      </c>
      <c r="Q35" s="10" t="n"/>
      <c r="R35" s="10" t="n"/>
      <c r="S35" s="10" t="n"/>
      <c r="T35" s="10" t="n"/>
      <c r="U35" s="10" t="n"/>
      <c r="V35" s="10" t="n"/>
      <c r="W35" s="10">
        <f>IF(COUNT(Q35:S35)&gt;0,MAX(Q35:S35),"")</f>
        <v/>
      </c>
      <c r="X35" s="10">
        <f>IF(COUNT(T35:V35)&gt;0,MAX(T35:V35),"")</f>
        <v/>
      </c>
      <c r="Y35" s="10">
        <f>IF(AND(F35&gt;0,COUNT(W35:X35)&gt;0),ROUND(AVERAGE(W35:X35)/F35,4),"")</f>
        <v/>
      </c>
      <c r="Z35" s="10" t="n"/>
      <c r="AA35" s="10">
        <f>IF(Z35&gt;0,ROUND(Z35*0.5,1),IF(F35&gt;0,ROUND(F35*0.4,1),""))</f>
        <v/>
      </c>
      <c r="AB35" s="10">
        <f>IF(Z35&gt;0,ROUND(Z35*0.6,1),IF(AA35&gt;0,ROUND(AA35/0.5*0.6,1),""))</f>
        <v/>
      </c>
      <c r="AC35" s="10">
        <f>IF(Z35&gt;0,ROUND(Z35*0.7,1),IF(AA35&gt;0,ROUND(AA35/0.5*0.7,1),""))</f>
        <v/>
      </c>
      <c r="AD35" s="10">
        <f>IF(Z35&gt;0,ROUND(Z35*0.8,1),IF(AA35&gt;0,ROUND(AA35/0.5*0.8,1),""))</f>
        <v/>
      </c>
      <c r="AE35" s="10">
        <f>IF(Z35&gt;0,ROUND(Z35*0.9,1),IF(AA35&gt;0,ROUND(AA35/0.5*0.9,1),""))</f>
        <v/>
      </c>
      <c r="AF35" s="10">
        <f>IF(Z35&gt;0,Z35,IF(AA35&gt;0,ROUND(AA35/0.5,1),""))</f>
        <v/>
      </c>
      <c r="AG35" s="10" t="n"/>
      <c r="AH35" s="10">
        <f>IF(AG35&gt;0,AG35,"")</f>
        <v/>
      </c>
      <c r="AI35" s="10">
        <f>IF(AND(F35&gt;0,OR(AG35&gt;0,AH35&gt;0)),ROUND(IF(AG35&gt;0,AG35,AH35)/F35,4),"")</f>
        <v/>
      </c>
      <c r="AJ35" s="10" t="n"/>
      <c r="AK35" s="10" t="n"/>
      <c r="AL35" s="10">
        <f>IF(COUNT(AJ35:AK35)&gt;0,MAX(AJ35:AK35),"")</f>
        <v/>
      </c>
      <c r="AM35" s="10" t="n"/>
      <c r="AN35" s="10" t="n"/>
      <c r="AO35" s="10">
        <f>IF(COUNT(AM35:AN35)&gt;0,ROUND(AVERAGE(AM35:AN35),2),"")</f>
        <v/>
      </c>
      <c r="AP35" s="10">
        <f>IF(AND(F35&gt;0,AO35&gt;0),ROUND(AO35/F35,4),"")</f>
        <v/>
      </c>
      <c r="AQ35" s="10">
        <f>IF(AND(AM35&gt;0,AN35&gt;0),ROUND((AN35/AM35)*100,2),"")</f>
        <v/>
      </c>
      <c r="AR35" s="9" t="inlineStr">
        <is>
          <t>P033_sanny.pdf</t>
        </is>
      </c>
      <c r="AS35" s="9" t="inlineStr">
        <is>
          <t>P033_biodex.pdf</t>
        </is>
      </c>
      <c r="AT35" s="9" t="n"/>
    </row>
    <row r="36">
      <c r="A36" s="8" t="inlineStr">
        <is>
          <t>P034</t>
        </is>
      </c>
      <c r="B36" s="9" t="n"/>
      <c r="C36" s="8" t="n"/>
      <c r="D36" s="8" t="n"/>
      <c r="E36" s="8" t="n"/>
      <c r="F36" s="10" t="n"/>
      <c r="G36" s="10" t="n"/>
      <c r="H36" s="10" t="n"/>
      <c r="I36" s="10" t="n"/>
      <c r="J36" s="10" t="n"/>
      <c r="K36" s="10" t="n"/>
      <c r="L36" s="10">
        <f>IF(AND(G36&gt;0,I36&gt;0),ROUND(I36/((G36/100)^2),2),"")</f>
        <v/>
      </c>
      <c r="M36" s="10" t="n"/>
      <c r="N36" s="10" t="n"/>
      <c r="O36" s="13" t="n"/>
      <c r="P36" s="8" t="inlineStr">
        <is>
          <t>D</t>
        </is>
      </c>
      <c r="Q36" s="10" t="n"/>
      <c r="R36" s="10" t="n"/>
      <c r="S36" s="10" t="n"/>
      <c r="T36" s="10" t="n"/>
      <c r="U36" s="10" t="n"/>
      <c r="V36" s="10" t="n"/>
      <c r="W36" s="10">
        <f>IF(COUNT(Q36:S36)&gt;0,MAX(Q36:S36),"")</f>
        <v/>
      </c>
      <c r="X36" s="10">
        <f>IF(COUNT(T36:V36)&gt;0,MAX(T36:V36),"")</f>
        <v/>
      </c>
      <c r="Y36" s="10">
        <f>IF(AND(F36&gt;0,COUNT(W36:X36)&gt;0),ROUND(AVERAGE(W36:X36)/F36,4),"")</f>
        <v/>
      </c>
      <c r="Z36" s="10" t="n"/>
      <c r="AA36" s="10">
        <f>IF(Z36&gt;0,ROUND(Z36*0.5,1),IF(F36&gt;0,ROUND(F36*0.4,1),""))</f>
        <v/>
      </c>
      <c r="AB36" s="10">
        <f>IF(Z36&gt;0,ROUND(Z36*0.6,1),IF(AA36&gt;0,ROUND(AA36/0.5*0.6,1),""))</f>
        <v/>
      </c>
      <c r="AC36" s="10">
        <f>IF(Z36&gt;0,ROUND(Z36*0.7,1),IF(AA36&gt;0,ROUND(AA36/0.5*0.7,1),""))</f>
        <v/>
      </c>
      <c r="AD36" s="10">
        <f>IF(Z36&gt;0,ROUND(Z36*0.8,1),IF(AA36&gt;0,ROUND(AA36/0.5*0.8,1),""))</f>
        <v/>
      </c>
      <c r="AE36" s="10">
        <f>IF(Z36&gt;0,ROUND(Z36*0.9,1),IF(AA36&gt;0,ROUND(AA36/0.5*0.9,1),""))</f>
        <v/>
      </c>
      <c r="AF36" s="10">
        <f>IF(Z36&gt;0,Z36,IF(AA36&gt;0,ROUND(AA36/0.5,1),""))</f>
        <v/>
      </c>
      <c r="AG36" s="10" t="n"/>
      <c r="AH36" s="10">
        <f>IF(AG36&gt;0,AG36,"")</f>
        <v/>
      </c>
      <c r="AI36" s="10">
        <f>IF(AND(F36&gt;0,OR(AG36&gt;0,AH36&gt;0)),ROUND(IF(AG36&gt;0,AG36,AH36)/F36,4),"")</f>
        <v/>
      </c>
      <c r="AJ36" s="10" t="n"/>
      <c r="AK36" s="10" t="n"/>
      <c r="AL36" s="10">
        <f>IF(COUNT(AJ36:AK36)&gt;0,MAX(AJ36:AK36),"")</f>
        <v/>
      </c>
      <c r="AM36" s="10" t="n"/>
      <c r="AN36" s="10" t="n"/>
      <c r="AO36" s="10">
        <f>IF(COUNT(AM36:AN36)&gt;0,ROUND(AVERAGE(AM36:AN36),2),"")</f>
        <v/>
      </c>
      <c r="AP36" s="10">
        <f>IF(AND(F36&gt;0,AO36&gt;0),ROUND(AO36/F36,4),"")</f>
        <v/>
      </c>
      <c r="AQ36" s="10">
        <f>IF(AND(AM36&gt;0,AN36&gt;0),ROUND((AN36/AM36)*100,2),"")</f>
        <v/>
      </c>
      <c r="AR36" s="9" t="inlineStr">
        <is>
          <t>P034_sanny.pdf</t>
        </is>
      </c>
      <c r="AS36" s="9" t="inlineStr">
        <is>
          <t>P034_biodex.pdf</t>
        </is>
      </c>
      <c r="AT36" s="9" t="n"/>
    </row>
    <row r="37">
      <c r="A37" s="8" t="inlineStr">
        <is>
          <t>P035</t>
        </is>
      </c>
      <c r="B37" s="9" t="n"/>
      <c r="C37" s="8" t="n"/>
      <c r="D37" s="8" t="n"/>
      <c r="E37" s="8" t="n"/>
      <c r="F37" s="10" t="n"/>
      <c r="G37" s="10" t="n"/>
      <c r="H37" s="10" t="n"/>
      <c r="I37" s="10" t="n"/>
      <c r="J37" s="10" t="n"/>
      <c r="K37" s="10" t="n"/>
      <c r="L37" s="10">
        <f>IF(AND(G37&gt;0,I37&gt;0),ROUND(I37/((G37/100)^2),2),"")</f>
        <v/>
      </c>
      <c r="M37" s="10" t="n"/>
      <c r="N37" s="10" t="n"/>
      <c r="O37" s="13" t="n"/>
      <c r="P37" s="8" t="inlineStr">
        <is>
          <t>D</t>
        </is>
      </c>
      <c r="Q37" s="10" t="n"/>
      <c r="R37" s="10" t="n"/>
      <c r="S37" s="10" t="n"/>
      <c r="T37" s="10" t="n"/>
      <c r="U37" s="10" t="n"/>
      <c r="V37" s="10" t="n"/>
      <c r="W37" s="10">
        <f>IF(COUNT(Q37:S37)&gt;0,MAX(Q37:S37),"")</f>
        <v/>
      </c>
      <c r="X37" s="10">
        <f>IF(COUNT(T37:V37)&gt;0,MAX(T37:V37),"")</f>
        <v/>
      </c>
      <c r="Y37" s="10">
        <f>IF(AND(F37&gt;0,COUNT(W37:X37)&gt;0),ROUND(AVERAGE(W37:X37)/F37,4),"")</f>
        <v/>
      </c>
      <c r="Z37" s="10" t="n"/>
      <c r="AA37" s="10">
        <f>IF(Z37&gt;0,ROUND(Z37*0.5,1),IF(F37&gt;0,ROUND(F37*0.4,1),""))</f>
        <v/>
      </c>
      <c r="AB37" s="10">
        <f>IF(Z37&gt;0,ROUND(Z37*0.6,1),IF(AA37&gt;0,ROUND(AA37/0.5*0.6,1),""))</f>
        <v/>
      </c>
      <c r="AC37" s="10">
        <f>IF(Z37&gt;0,ROUND(Z37*0.7,1),IF(AA37&gt;0,ROUND(AA37/0.5*0.7,1),""))</f>
        <v/>
      </c>
      <c r="AD37" s="10">
        <f>IF(Z37&gt;0,ROUND(Z37*0.8,1),IF(AA37&gt;0,ROUND(AA37/0.5*0.8,1),""))</f>
        <v/>
      </c>
      <c r="AE37" s="10">
        <f>IF(Z37&gt;0,ROUND(Z37*0.9,1),IF(AA37&gt;0,ROUND(AA37/0.5*0.9,1),""))</f>
        <v/>
      </c>
      <c r="AF37" s="10">
        <f>IF(Z37&gt;0,Z37,IF(AA37&gt;0,ROUND(AA37/0.5,1),""))</f>
        <v/>
      </c>
      <c r="AG37" s="10" t="n"/>
      <c r="AH37" s="10">
        <f>IF(AG37&gt;0,AG37,"")</f>
        <v/>
      </c>
      <c r="AI37" s="10">
        <f>IF(AND(F37&gt;0,OR(AG37&gt;0,AH37&gt;0)),ROUND(IF(AG37&gt;0,AG37,AH37)/F37,4),"")</f>
        <v/>
      </c>
      <c r="AJ37" s="10" t="n"/>
      <c r="AK37" s="10" t="n"/>
      <c r="AL37" s="10">
        <f>IF(COUNT(AJ37:AK37)&gt;0,MAX(AJ37:AK37),"")</f>
        <v/>
      </c>
      <c r="AM37" s="10" t="n"/>
      <c r="AN37" s="10" t="n"/>
      <c r="AO37" s="10">
        <f>IF(COUNT(AM37:AN37)&gt;0,ROUND(AVERAGE(AM37:AN37),2),"")</f>
        <v/>
      </c>
      <c r="AP37" s="10">
        <f>IF(AND(F37&gt;0,AO37&gt;0),ROUND(AO37/F37,4),"")</f>
        <v/>
      </c>
      <c r="AQ37" s="10">
        <f>IF(AND(AM37&gt;0,AN37&gt;0),ROUND((AN37/AM37)*100,2),"")</f>
        <v/>
      </c>
      <c r="AR37" s="9" t="inlineStr">
        <is>
          <t>P035_sanny.pdf</t>
        </is>
      </c>
      <c r="AS37" s="9" t="inlineStr">
        <is>
          <t>P035_biodex.pdf</t>
        </is>
      </c>
      <c r="AT37" s="9" t="n"/>
    </row>
    <row r="38">
      <c r="A38" s="8" t="inlineStr">
        <is>
          <t>P036</t>
        </is>
      </c>
      <c r="B38" s="9" t="n"/>
      <c r="C38" s="8" t="n"/>
      <c r="D38" s="8" t="n"/>
      <c r="E38" s="8" t="n"/>
      <c r="F38" s="10" t="n"/>
      <c r="G38" s="10" t="n"/>
      <c r="H38" s="10" t="n"/>
      <c r="I38" s="10" t="n"/>
      <c r="J38" s="10" t="n"/>
      <c r="K38" s="10" t="n"/>
      <c r="L38" s="10">
        <f>IF(AND(G38&gt;0,I38&gt;0),ROUND(I38/((G38/100)^2),2),"")</f>
        <v/>
      </c>
      <c r="M38" s="10" t="n"/>
      <c r="N38" s="10" t="n"/>
      <c r="O38" s="13" t="n"/>
      <c r="P38" s="8" t="inlineStr">
        <is>
          <t>D</t>
        </is>
      </c>
      <c r="Q38" s="10" t="n"/>
      <c r="R38" s="10" t="n"/>
      <c r="S38" s="10" t="n"/>
      <c r="T38" s="10" t="n"/>
      <c r="U38" s="10" t="n"/>
      <c r="V38" s="10" t="n"/>
      <c r="W38" s="10">
        <f>IF(COUNT(Q38:S38)&gt;0,MAX(Q38:S38),"")</f>
        <v/>
      </c>
      <c r="X38" s="10">
        <f>IF(COUNT(T38:V38)&gt;0,MAX(T38:V38),"")</f>
        <v/>
      </c>
      <c r="Y38" s="10">
        <f>IF(AND(F38&gt;0,COUNT(W38:X38)&gt;0),ROUND(AVERAGE(W38:X38)/F38,4),"")</f>
        <v/>
      </c>
      <c r="Z38" s="10" t="n"/>
      <c r="AA38" s="10">
        <f>IF(Z38&gt;0,ROUND(Z38*0.5,1),IF(F38&gt;0,ROUND(F38*0.4,1),""))</f>
        <v/>
      </c>
      <c r="AB38" s="10">
        <f>IF(Z38&gt;0,ROUND(Z38*0.6,1),IF(AA38&gt;0,ROUND(AA38/0.5*0.6,1),""))</f>
        <v/>
      </c>
      <c r="AC38" s="10">
        <f>IF(Z38&gt;0,ROUND(Z38*0.7,1),IF(AA38&gt;0,ROUND(AA38/0.5*0.7,1),""))</f>
        <v/>
      </c>
      <c r="AD38" s="10">
        <f>IF(Z38&gt;0,ROUND(Z38*0.8,1),IF(AA38&gt;0,ROUND(AA38/0.5*0.8,1),""))</f>
        <v/>
      </c>
      <c r="AE38" s="10">
        <f>IF(Z38&gt;0,ROUND(Z38*0.9,1),IF(AA38&gt;0,ROUND(AA38/0.5*0.9,1),""))</f>
        <v/>
      </c>
      <c r="AF38" s="10">
        <f>IF(Z38&gt;0,Z38,IF(AA38&gt;0,ROUND(AA38/0.5,1),""))</f>
        <v/>
      </c>
      <c r="AG38" s="10" t="n"/>
      <c r="AH38" s="10">
        <f>IF(AG38&gt;0,AG38,"")</f>
        <v/>
      </c>
      <c r="AI38" s="10">
        <f>IF(AND(F38&gt;0,OR(AG38&gt;0,AH38&gt;0)),ROUND(IF(AG38&gt;0,AG38,AH38)/F38,4),"")</f>
        <v/>
      </c>
      <c r="AJ38" s="10" t="n"/>
      <c r="AK38" s="10" t="n"/>
      <c r="AL38" s="10">
        <f>IF(COUNT(AJ38:AK38)&gt;0,MAX(AJ38:AK38),"")</f>
        <v/>
      </c>
      <c r="AM38" s="10" t="n"/>
      <c r="AN38" s="10" t="n"/>
      <c r="AO38" s="10">
        <f>IF(COUNT(AM38:AN38)&gt;0,ROUND(AVERAGE(AM38:AN38),2),"")</f>
        <v/>
      </c>
      <c r="AP38" s="10">
        <f>IF(AND(F38&gt;0,AO38&gt;0),ROUND(AO38/F38,4),"")</f>
        <v/>
      </c>
      <c r="AQ38" s="10">
        <f>IF(AND(AM38&gt;0,AN38&gt;0),ROUND((AN38/AM38)*100,2),"")</f>
        <v/>
      </c>
      <c r="AR38" s="9" t="inlineStr">
        <is>
          <t>P036_sanny.pdf</t>
        </is>
      </c>
      <c r="AS38" s="9" t="inlineStr">
        <is>
          <t>P036_biodex.pdf</t>
        </is>
      </c>
      <c r="AT38" s="9" t="n"/>
    </row>
    <row r="39">
      <c r="A39" s="8" t="inlineStr">
        <is>
          <t>P037</t>
        </is>
      </c>
      <c r="B39" s="9" t="n"/>
      <c r="C39" s="8" t="n"/>
      <c r="D39" s="8" t="n"/>
      <c r="E39" s="8" t="n"/>
      <c r="F39" s="10" t="n"/>
      <c r="G39" s="10" t="n"/>
      <c r="H39" s="10" t="n"/>
      <c r="I39" s="10" t="n"/>
      <c r="J39" s="10" t="n"/>
      <c r="K39" s="10" t="n"/>
      <c r="L39" s="10">
        <f>IF(AND(G39&gt;0,I39&gt;0),ROUND(I39/((G39/100)^2),2),"")</f>
        <v/>
      </c>
      <c r="M39" s="10" t="n"/>
      <c r="N39" s="10" t="n"/>
      <c r="O39" s="13" t="n"/>
      <c r="P39" s="8" t="inlineStr">
        <is>
          <t>D</t>
        </is>
      </c>
      <c r="Q39" s="10" t="n"/>
      <c r="R39" s="10" t="n"/>
      <c r="S39" s="10" t="n"/>
      <c r="T39" s="10" t="n"/>
      <c r="U39" s="10" t="n"/>
      <c r="V39" s="10" t="n"/>
      <c r="W39" s="10">
        <f>IF(COUNT(Q39:S39)&gt;0,MAX(Q39:S39),"")</f>
        <v/>
      </c>
      <c r="X39" s="10">
        <f>IF(COUNT(T39:V39)&gt;0,MAX(T39:V39),"")</f>
        <v/>
      </c>
      <c r="Y39" s="10">
        <f>IF(AND(F39&gt;0,COUNT(W39:X39)&gt;0),ROUND(AVERAGE(W39:X39)/F39,4),"")</f>
        <v/>
      </c>
      <c r="Z39" s="10" t="n"/>
      <c r="AA39" s="10">
        <f>IF(Z39&gt;0,ROUND(Z39*0.5,1),IF(F39&gt;0,ROUND(F39*0.4,1),""))</f>
        <v/>
      </c>
      <c r="AB39" s="10">
        <f>IF(Z39&gt;0,ROUND(Z39*0.6,1),IF(AA39&gt;0,ROUND(AA39/0.5*0.6,1),""))</f>
        <v/>
      </c>
      <c r="AC39" s="10">
        <f>IF(Z39&gt;0,ROUND(Z39*0.7,1),IF(AA39&gt;0,ROUND(AA39/0.5*0.7,1),""))</f>
        <v/>
      </c>
      <c r="AD39" s="10">
        <f>IF(Z39&gt;0,ROUND(Z39*0.8,1),IF(AA39&gt;0,ROUND(AA39/0.5*0.8,1),""))</f>
        <v/>
      </c>
      <c r="AE39" s="10">
        <f>IF(Z39&gt;0,ROUND(Z39*0.9,1),IF(AA39&gt;0,ROUND(AA39/0.5*0.9,1),""))</f>
        <v/>
      </c>
      <c r="AF39" s="10">
        <f>IF(Z39&gt;0,Z39,IF(AA39&gt;0,ROUND(AA39/0.5,1),""))</f>
        <v/>
      </c>
      <c r="AG39" s="10" t="n"/>
      <c r="AH39" s="10">
        <f>IF(AG39&gt;0,AG39,"")</f>
        <v/>
      </c>
      <c r="AI39" s="10">
        <f>IF(AND(F39&gt;0,OR(AG39&gt;0,AH39&gt;0)),ROUND(IF(AG39&gt;0,AG39,AH39)/F39,4),"")</f>
        <v/>
      </c>
      <c r="AJ39" s="10" t="n"/>
      <c r="AK39" s="10" t="n"/>
      <c r="AL39" s="10">
        <f>IF(COUNT(AJ39:AK39)&gt;0,MAX(AJ39:AK39),"")</f>
        <v/>
      </c>
      <c r="AM39" s="10" t="n"/>
      <c r="AN39" s="10" t="n"/>
      <c r="AO39" s="10">
        <f>IF(COUNT(AM39:AN39)&gt;0,ROUND(AVERAGE(AM39:AN39),2),"")</f>
        <v/>
      </c>
      <c r="AP39" s="10">
        <f>IF(AND(F39&gt;0,AO39&gt;0),ROUND(AO39/F39,4),"")</f>
        <v/>
      </c>
      <c r="AQ39" s="10">
        <f>IF(AND(AM39&gt;0,AN39&gt;0),ROUND((AN39/AM39)*100,2),"")</f>
        <v/>
      </c>
      <c r="AR39" s="9" t="inlineStr">
        <is>
          <t>P037_sanny.pdf</t>
        </is>
      </c>
      <c r="AS39" s="9" t="inlineStr">
        <is>
          <t>P037_biodex.pdf</t>
        </is>
      </c>
      <c r="AT39" s="9" t="n"/>
    </row>
    <row r="40">
      <c r="A40" s="8" t="inlineStr">
        <is>
          <t>P038</t>
        </is>
      </c>
      <c r="B40" s="9" t="n"/>
      <c r="C40" s="8" t="n"/>
      <c r="D40" s="8" t="n"/>
      <c r="E40" s="8" t="n"/>
      <c r="F40" s="10" t="n"/>
      <c r="G40" s="10" t="n"/>
      <c r="H40" s="10" t="n"/>
      <c r="I40" s="10" t="n"/>
      <c r="J40" s="10" t="n"/>
      <c r="K40" s="10" t="n"/>
      <c r="L40" s="10">
        <f>IF(AND(G40&gt;0,I40&gt;0),ROUND(I40/((G40/100)^2),2),"")</f>
        <v/>
      </c>
      <c r="M40" s="10" t="n"/>
      <c r="N40" s="10" t="n"/>
      <c r="O40" s="13" t="n"/>
      <c r="P40" s="8" t="inlineStr">
        <is>
          <t>D</t>
        </is>
      </c>
      <c r="Q40" s="10" t="n"/>
      <c r="R40" s="10" t="n"/>
      <c r="S40" s="10" t="n"/>
      <c r="T40" s="10" t="n"/>
      <c r="U40" s="10" t="n"/>
      <c r="V40" s="10" t="n"/>
      <c r="W40" s="10">
        <f>IF(COUNT(Q40:S40)&gt;0,MAX(Q40:S40),"")</f>
        <v/>
      </c>
      <c r="X40" s="10">
        <f>IF(COUNT(T40:V40)&gt;0,MAX(T40:V40),"")</f>
        <v/>
      </c>
      <c r="Y40" s="10">
        <f>IF(AND(F40&gt;0,COUNT(W40:X40)&gt;0),ROUND(AVERAGE(W40:X40)/F40,4),"")</f>
        <v/>
      </c>
      <c r="Z40" s="10" t="n"/>
      <c r="AA40" s="10">
        <f>IF(Z40&gt;0,ROUND(Z40*0.5,1),IF(F40&gt;0,ROUND(F40*0.4,1),""))</f>
        <v/>
      </c>
      <c r="AB40" s="10">
        <f>IF(Z40&gt;0,ROUND(Z40*0.6,1),IF(AA40&gt;0,ROUND(AA40/0.5*0.6,1),""))</f>
        <v/>
      </c>
      <c r="AC40" s="10">
        <f>IF(Z40&gt;0,ROUND(Z40*0.7,1),IF(AA40&gt;0,ROUND(AA40/0.5*0.7,1),""))</f>
        <v/>
      </c>
      <c r="AD40" s="10">
        <f>IF(Z40&gt;0,ROUND(Z40*0.8,1),IF(AA40&gt;0,ROUND(AA40/0.5*0.8,1),""))</f>
        <v/>
      </c>
      <c r="AE40" s="10">
        <f>IF(Z40&gt;0,ROUND(Z40*0.9,1),IF(AA40&gt;0,ROUND(AA40/0.5*0.9,1),""))</f>
        <v/>
      </c>
      <c r="AF40" s="10">
        <f>IF(Z40&gt;0,Z40,IF(AA40&gt;0,ROUND(AA40/0.5,1),""))</f>
        <v/>
      </c>
      <c r="AG40" s="10" t="n"/>
      <c r="AH40" s="10">
        <f>IF(AG40&gt;0,AG40,"")</f>
        <v/>
      </c>
      <c r="AI40" s="10">
        <f>IF(AND(F40&gt;0,OR(AG40&gt;0,AH40&gt;0)),ROUND(IF(AG40&gt;0,AG40,AH40)/F40,4),"")</f>
        <v/>
      </c>
      <c r="AJ40" s="10" t="n"/>
      <c r="AK40" s="10" t="n"/>
      <c r="AL40" s="10">
        <f>IF(COUNT(AJ40:AK40)&gt;0,MAX(AJ40:AK40),"")</f>
        <v/>
      </c>
      <c r="AM40" s="10" t="n"/>
      <c r="AN40" s="10" t="n"/>
      <c r="AO40" s="10">
        <f>IF(COUNT(AM40:AN40)&gt;0,ROUND(AVERAGE(AM40:AN40),2),"")</f>
        <v/>
      </c>
      <c r="AP40" s="10">
        <f>IF(AND(F40&gt;0,AO40&gt;0),ROUND(AO40/F40,4),"")</f>
        <v/>
      </c>
      <c r="AQ40" s="10">
        <f>IF(AND(AM40&gt;0,AN40&gt;0),ROUND((AN40/AM40)*100,2),"")</f>
        <v/>
      </c>
      <c r="AR40" s="9" t="inlineStr">
        <is>
          <t>P038_sanny.pdf</t>
        </is>
      </c>
      <c r="AS40" s="9" t="inlineStr">
        <is>
          <t>P038_biodex.pdf</t>
        </is>
      </c>
      <c r="AT40" s="9" t="n"/>
    </row>
    <row r="41">
      <c r="A41" s="8" t="inlineStr">
        <is>
          <t>P039</t>
        </is>
      </c>
      <c r="B41" s="9" t="n"/>
      <c r="C41" s="8" t="n"/>
      <c r="D41" s="8" t="n"/>
      <c r="E41" s="8" t="n"/>
      <c r="F41" s="10" t="n"/>
      <c r="G41" s="10" t="n"/>
      <c r="H41" s="10" t="n"/>
      <c r="I41" s="10" t="n"/>
      <c r="J41" s="10" t="n"/>
      <c r="K41" s="10" t="n"/>
      <c r="L41" s="10">
        <f>IF(AND(G41&gt;0,I41&gt;0),ROUND(I41/((G41/100)^2),2),"")</f>
        <v/>
      </c>
      <c r="M41" s="10" t="n"/>
      <c r="N41" s="10" t="n"/>
      <c r="O41" s="13" t="n"/>
      <c r="P41" s="8" t="inlineStr">
        <is>
          <t>D</t>
        </is>
      </c>
      <c r="Q41" s="10" t="n"/>
      <c r="R41" s="10" t="n"/>
      <c r="S41" s="10" t="n"/>
      <c r="T41" s="10" t="n"/>
      <c r="U41" s="10" t="n"/>
      <c r="V41" s="10" t="n"/>
      <c r="W41" s="10">
        <f>IF(COUNT(Q41:S41)&gt;0,MAX(Q41:S41),"")</f>
        <v/>
      </c>
      <c r="X41" s="10">
        <f>IF(COUNT(T41:V41)&gt;0,MAX(T41:V41),"")</f>
        <v/>
      </c>
      <c r="Y41" s="10">
        <f>IF(AND(F41&gt;0,COUNT(W41:X41)&gt;0),ROUND(AVERAGE(W41:X41)/F41,4),"")</f>
        <v/>
      </c>
      <c r="Z41" s="10" t="n"/>
      <c r="AA41" s="10">
        <f>IF(Z41&gt;0,ROUND(Z41*0.5,1),IF(F41&gt;0,ROUND(F41*0.4,1),""))</f>
        <v/>
      </c>
      <c r="AB41" s="10">
        <f>IF(Z41&gt;0,ROUND(Z41*0.6,1),IF(AA41&gt;0,ROUND(AA41/0.5*0.6,1),""))</f>
        <v/>
      </c>
      <c r="AC41" s="10">
        <f>IF(Z41&gt;0,ROUND(Z41*0.7,1),IF(AA41&gt;0,ROUND(AA41/0.5*0.7,1),""))</f>
        <v/>
      </c>
      <c r="AD41" s="10">
        <f>IF(Z41&gt;0,ROUND(Z41*0.8,1),IF(AA41&gt;0,ROUND(AA41/0.5*0.8,1),""))</f>
        <v/>
      </c>
      <c r="AE41" s="10">
        <f>IF(Z41&gt;0,ROUND(Z41*0.9,1),IF(AA41&gt;0,ROUND(AA41/0.5*0.9,1),""))</f>
        <v/>
      </c>
      <c r="AF41" s="10">
        <f>IF(Z41&gt;0,Z41,IF(AA41&gt;0,ROUND(AA41/0.5,1),""))</f>
        <v/>
      </c>
      <c r="AG41" s="10" t="n"/>
      <c r="AH41" s="10">
        <f>IF(AG41&gt;0,AG41,"")</f>
        <v/>
      </c>
      <c r="AI41" s="10">
        <f>IF(AND(F41&gt;0,OR(AG41&gt;0,AH41&gt;0)),ROUND(IF(AG41&gt;0,AG41,AH41)/F41,4),"")</f>
        <v/>
      </c>
      <c r="AJ41" s="10" t="n"/>
      <c r="AK41" s="10" t="n"/>
      <c r="AL41" s="10">
        <f>IF(COUNT(AJ41:AK41)&gt;0,MAX(AJ41:AK41),"")</f>
        <v/>
      </c>
      <c r="AM41" s="10" t="n"/>
      <c r="AN41" s="10" t="n"/>
      <c r="AO41" s="10">
        <f>IF(COUNT(AM41:AN41)&gt;0,ROUND(AVERAGE(AM41:AN41),2),"")</f>
        <v/>
      </c>
      <c r="AP41" s="10">
        <f>IF(AND(F41&gt;0,AO41&gt;0),ROUND(AO41/F41,4),"")</f>
        <v/>
      </c>
      <c r="AQ41" s="10">
        <f>IF(AND(AM41&gt;0,AN41&gt;0),ROUND((AN41/AM41)*100,2),"")</f>
        <v/>
      </c>
      <c r="AR41" s="9" t="inlineStr">
        <is>
          <t>P039_sanny.pdf</t>
        </is>
      </c>
      <c r="AS41" s="9" t="inlineStr">
        <is>
          <t>P039_biodex.pdf</t>
        </is>
      </c>
      <c r="AT41" s="9" t="n"/>
    </row>
    <row r="42">
      <c r="A42" s="8" t="inlineStr">
        <is>
          <t>P040</t>
        </is>
      </c>
      <c r="B42" s="9" t="n"/>
      <c r="C42" s="8" t="n"/>
      <c r="D42" s="8" t="n"/>
      <c r="E42" s="8" t="n"/>
      <c r="F42" s="10" t="n"/>
      <c r="G42" s="10" t="n"/>
      <c r="H42" s="10" t="n"/>
      <c r="I42" s="10" t="n"/>
      <c r="J42" s="10" t="n"/>
      <c r="K42" s="10" t="n"/>
      <c r="L42" s="10">
        <f>IF(AND(G42&gt;0,I42&gt;0),ROUND(I42/((G42/100)^2),2),"")</f>
        <v/>
      </c>
      <c r="M42" s="10" t="n"/>
      <c r="N42" s="10" t="n"/>
      <c r="O42" s="13" t="n"/>
      <c r="P42" s="8" t="inlineStr">
        <is>
          <t>D</t>
        </is>
      </c>
      <c r="Q42" s="10" t="n"/>
      <c r="R42" s="10" t="n"/>
      <c r="S42" s="10" t="n"/>
      <c r="T42" s="10" t="n"/>
      <c r="U42" s="10" t="n"/>
      <c r="V42" s="10" t="n"/>
      <c r="W42" s="10">
        <f>IF(COUNT(Q42:S42)&gt;0,MAX(Q42:S42),"")</f>
        <v/>
      </c>
      <c r="X42" s="10">
        <f>IF(COUNT(T42:V42)&gt;0,MAX(T42:V42),"")</f>
        <v/>
      </c>
      <c r="Y42" s="10">
        <f>IF(AND(F42&gt;0,COUNT(W42:X42)&gt;0),ROUND(AVERAGE(W42:X42)/F42,4),"")</f>
        <v/>
      </c>
      <c r="Z42" s="10" t="n"/>
      <c r="AA42" s="10">
        <f>IF(Z42&gt;0,ROUND(Z42*0.5,1),IF(F42&gt;0,ROUND(F42*0.4,1),""))</f>
        <v/>
      </c>
      <c r="AB42" s="10">
        <f>IF(Z42&gt;0,ROUND(Z42*0.6,1),IF(AA42&gt;0,ROUND(AA42/0.5*0.6,1),""))</f>
        <v/>
      </c>
      <c r="AC42" s="10">
        <f>IF(Z42&gt;0,ROUND(Z42*0.7,1),IF(AA42&gt;0,ROUND(AA42/0.5*0.7,1),""))</f>
        <v/>
      </c>
      <c r="AD42" s="10">
        <f>IF(Z42&gt;0,ROUND(Z42*0.8,1),IF(AA42&gt;0,ROUND(AA42/0.5*0.8,1),""))</f>
        <v/>
      </c>
      <c r="AE42" s="10">
        <f>IF(Z42&gt;0,ROUND(Z42*0.9,1),IF(AA42&gt;0,ROUND(AA42/0.5*0.9,1),""))</f>
        <v/>
      </c>
      <c r="AF42" s="10">
        <f>IF(Z42&gt;0,Z42,IF(AA42&gt;0,ROUND(AA42/0.5,1),""))</f>
        <v/>
      </c>
      <c r="AG42" s="10" t="n"/>
      <c r="AH42" s="10">
        <f>IF(AG42&gt;0,AG42,"")</f>
        <v/>
      </c>
      <c r="AI42" s="10">
        <f>IF(AND(F42&gt;0,OR(AG42&gt;0,AH42&gt;0)),ROUND(IF(AG42&gt;0,AG42,AH42)/F42,4),"")</f>
        <v/>
      </c>
      <c r="AJ42" s="10" t="n"/>
      <c r="AK42" s="10" t="n"/>
      <c r="AL42" s="10">
        <f>IF(COUNT(AJ42:AK42)&gt;0,MAX(AJ42:AK42),"")</f>
        <v/>
      </c>
      <c r="AM42" s="10" t="n"/>
      <c r="AN42" s="10" t="n"/>
      <c r="AO42" s="10">
        <f>IF(COUNT(AM42:AN42)&gt;0,ROUND(AVERAGE(AM42:AN42),2),"")</f>
        <v/>
      </c>
      <c r="AP42" s="10">
        <f>IF(AND(F42&gt;0,AO42&gt;0),ROUND(AO42/F42,4),"")</f>
        <v/>
      </c>
      <c r="AQ42" s="10">
        <f>IF(AND(AM42&gt;0,AN42&gt;0),ROUND((AN42/AM42)*100,2),"")</f>
        <v/>
      </c>
      <c r="AR42" s="9" t="inlineStr">
        <is>
          <t>P040_sanny.pdf</t>
        </is>
      </c>
      <c r="AS42" s="9" t="inlineStr">
        <is>
          <t>P040_biodex.pdf</t>
        </is>
      </c>
      <c r="AT4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2026-09-14T20:29:00Z</dcterms:created>
  <dcterms:modified xmlns:dcterms="http://purl.org/dc/terms/" xmlns:xsi="http://www.w3.org/2001/XMLSchema-instance" xsi:type="dcterms:W3CDTF">2026-09-15T13:12:01Z</dcterms:modified>
  <cp:lastModifiedBy>Guilherme Lemos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AC0F6A5BA4504407A57D652CAD5B7C8B_12</vt:lpwstr>
  </property>
  <property name="KSOProductBuildVer" fmtid="{D5CDD505-2E9C-101B-9397-08002B2CF9AE}" pid="3">
    <vt:lpwstr xmlns:vt="http://schemas.openxmlformats.org/officeDocument/2006/docPropsVTypes">1046-12.1.0.28485</vt:lpwstr>
  </property>
  <property name="CalculationRule" fmtid="{D5CDD505-2E9C-101B-9397-08002B2CF9AE}" pid="4">
    <vt:i4 xmlns:vt="http://schemas.openxmlformats.org/officeDocument/2006/docPropsVTypes">0</vt:i4>
  </property>
</Properties>
</file>